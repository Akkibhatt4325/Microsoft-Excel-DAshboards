
<file path=[Content_Types].xml><?xml version="1.0" encoding="utf-8"?>
<Types xmlns="http://schemas.openxmlformats.org/package/2006/content-types">
  <Default Extension="data" ContentType="application/vnd.openxmlformats-officedocument.model+data"/>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slicers/slicer1.xml" ContentType="application/vnd.ms-excel.slicer+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drawings/drawing4.xml" ContentType="application/vnd.openxmlformats-officedocument.drawing+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drawings/drawing5.xml" ContentType="application/vnd.openxmlformats-officedocument.drawing+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6.xml" ContentType="application/vnd.openxmlformats-officedocument.drawingml.chartshap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workbookPr/>
  <mc:AlternateContent xmlns:mc="http://schemas.openxmlformats.org/markup-compatibility/2006">
    <mc:Choice Requires="x15">
      <x15ac:absPath xmlns:x15ac="http://schemas.microsoft.com/office/spreadsheetml/2010/11/ac" url="D:\Projects\"/>
    </mc:Choice>
  </mc:AlternateContent>
  <xr:revisionPtr revIDLastSave="0" documentId="13_ncr:1_{68AD1E06-7976-4A2F-82AD-13D4F99FF642}" xr6:coauthVersionLast="47" xr6:coauthVersionMax="47" xr10:uidLastSave="{00000000-0000-0000-0000-000000000000}"/>
  <bookViews>
    <workbookView xWindow="-120" yWindow="-120" windowWidth="20730" windowHeight="11160" firstSheet="1" activeTab="1" xr2:uid="{7038C0CF-7034-456D-8334-D21338183515}"/>
  </bookViews>
  <sheets>
    <sheet name="Pivort Data" sheetId="1" r:id="rId1"/>
    <sheet name="Dashboard" sheetId="2" r:id="rId2"/>
    <sheet name="No of Patient Chart" sheetId="3" r:id="rId3"/>
    <sheet name="Average Wait time Chart" sheetId="4" r:id="rId4"/>
    <sheet name="Patient Satisifaction level" sheetId="5" r:id="rId5"/>
  </sheets>
  <definedNames>
    <definedName name="Slicer_Date__Month">#N/A</definedName>
    <definedName name="Slicer_Date__Year">#N/A</definedName>
  </definedNames>
  <calcPr calcId="191029"/>
  <pivotCaches>
    <pivotCache cacheId="231" r:id="rId6"/>
    <pivotCache cacheId="234" r:id="rId7"/>
    <pivotCache cacheId="237" r:id="rId8"/>
    <pivotCache cacheId="240" r:id="rId9"/>
    <pivotCache cacheId="243" r:id="rId10"/>
    <pivotCache cacheId="246" r:id="rId11"/>
    <pivotCache cacheId="249" r:id="rId12"/>
    <pivotCache cacheId="252" r:id="rId13"/>
    <pivotCache cacheId="255" r:id="rId14"/>
    <pivotCache cacheId="258" r:id="rId15"/>
    <pivotCache cacheId="261" r:id="rId16"/>
    <pivotCache cacheId="264" r:id="rId17"/>
  </pivotCaches>
  <extLst>
    <ext xmlns:x14="http://schemas.microsoft.com/office/spreadsheetml/2009/9/main" uri="{876F7934-8845-4945-9796-88D515C7AA90}">
      <x14:pivotCaches>
        <pivotCache cacheId="12" r:id="rId18"/>
      </x14:pivotCaches>
    </ext>
    <ext xmlns:x14="http://schemas.microsoft.com/office/spreadsheetml/2009/9/main" uri="{BBE1A952-AA13-448e-AADC-164F8A28A991}">
      <x14:slicerCaches>
        <x14:slicerCache r:id="rId19"/>
        <x14:slicerCache r:id="rId2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Hospital Emergency Room Data_b7f7adb7-05c5-4239-950d-d91bde09f6d6" name="Hospital Emergency Room Data" connection="Query - Hospital Emergency Room Data"/>
          <x15:modelTable id="Callender_Table_f98befd5-40fe-450f-99dd-ef7b166a7652" name="Callender_Table" connection="Query - Callender_Table"/>
        </x15:modelTables>
        <x15:modelRelationships>
          <x15:modelRelationship fromTable="Hospital Emergency Room Data" fromColumn="Patient Admission Date" toTable="Callender_Table" toColumn="Date"/>
        </x15:modelRelationships>
        <x15:extLst>
          <ext xmlns:x16="http://schemas.microsoft.com/office/spreadsheetml/2014/11/main" uri="{9835A34E-60A6-4A7C-AAB8-D5F71C897F49}">
            <x16:modelTimeGroupings>
              <x16:modelTimeGrouping tableName="Callender_Table" columnName="Date" columnId="Date">
                <x16:calculatedTimeColumn columnName="Date (Year)" columnId="Date (Year)" contentType="years" isSelected="1"/>
                <x16:calculatedTimeColumn columnName="Date (Quarter)" columnId="Date (Quarter)" contentType="quarters" isSelected="1"/>
                <x16:calculatedTimeColumn columnName="Date (Month Index)" columnId="Date (Month Index)" contentType="monthsindex" isSelected="1"/>
                <x16:calculatedTimeColumn columnName="Date (Month)" columnId="Date (Month)" contentType="months" isSelected="1"/>
                <x16:calculatedTimeColumn columnName="Date (Day Index)" columnId="Date (Day Index)" contentType="daysindex" isSelected="0"/>
                <x16:calculatedTimeColumn columnName="Date (Day)" columnId="Date (Day)" contentType="days" isSelected="0"/>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6" i="1" l="1"/>
  <c r="B46" i="1"/>
  <c r="B45" i="1"/>
  <c r="C45" i="1"/>
  <c r="A45" i="1"/>
  <c r="A46"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66C1481-C431-40E1-9461-87CB699D5569}" name="Query - Callender_Table" description="Connection to the 'Callender_Table' query in the workbook." type="100" refreshedVersion="8" minRefreshableVersion="5">
    <extLst>
      <ext xmlns:x15="http://schemas.microsoft.com/office/spreadsheetml/2010/11/main" uri="{DE250136-89BD-433C-8126-D09CA5730AF9}">
        <x15:connection id="f1e9170e-c467-4b76-ad60-7c9ce7a8281a"/>
      </ext>
    </extLst>
  </connection>
  <connection id="2" xr16:uid="{989F6739-C234-41E8-89A8-5310FB276E55}" name="Query - Hospital Emergency Room Data" description="Connection to the 'Hospital Emergency Room Data' query in the workbook." type="100" refreshedVersion="8" minRefreshableVersion="5">
    <extLst>
      <ext xmlns:x15="http://schemas.microsoft.com/office/spreadsheetml/2010/11/main" uri="{DE250136-89BD-433C-8126-D09CA5730AF9}">
        <x15:connection id="31354e1c-67f1-4da0-b9d4-21852e7ea546"/>
      </ext>
    </extLst>
  </connection>
  <connection id="3" xr16:uid="{9EBF4C70-D1B9-450B-ACDD-C6A6C510930B}" keepAlive="1" name="ThisWorkbookDataModel" description="Data Model"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<sst xmlns="http://schemas.openxmlformats.org/spreadsheetml/2006/main" count="153" uniqueCount="74">
  <si>
    <t>Row Labels</t>
  </si>
  <si>
    <t>Grand Total</t>
  </si>
  <si>
    <t>Distinct Count of Patient Id</t>
  </si>
  <si>
    <t>No of Patients</t>
  </si>
  <si>
    <t>Average of Patient Waittime</t>
  </si>
  <si>
    <t>Average of Patient Satisfaction Score</t>
  </si>
  <si>
    <t>no of Patients</t>
  </si>
  <si>
    <t>Average Wait time</t>
  </si>
  <si>
    <t>Patient Satisifaction level</t>
  </si>
  <si>
    <t>Admitted</t>
  </si>
  <si>
    <t>Not Admitted</t>
  </si>
  <si>
    <t>Count of Patient Admission Flag</t>
  </si>
  <si>
    <t>Count of Patient Admission Flag2</t>
  </si>
  <si>
    <t>Admission Status</t>
  </si>
  <si>
    <t>No. of Patients</t>
  </si>
  <si>
    <t>%Status</t>
  </si>
  <si>
    <t>0-09</t>
  </si>
  <si>
    <t>10-19</t>
  </si>
  <si>
    <t>20-29</t>
  </si>
  <si>
    <t>30-39</t>
  </si>
  <si>
    <t>40-49</t>
  </si>
  <si>
    <t>50-59</t>
  </si>
  <si>
    <t>60-69</t>
  </si>
  <si>
    <t>70-79</t>
  </si>
  <si>
    <t>Count of Age Group</t>
  </si>
  <si>
    <t>Age Group wise analysis</t>
  </si>
  <si>
    <t>Ontime</t>
  </si>
  <si>
    <t>Delay</t>
  </si>
  <si>
    <t>Count of Patient Attend Status</t>
  </si>
  <si>
    <t>Patient attend status</t>
  </si>
  <si>
    <t>Female</t>
  </si>
  <si>
    <t>Male</t>
  </si>
  <si>
    <t>Count of Patient Gender</t>
  </si>
  <si>
    <t>Gender wise analysis</t>
  </si>
  <si>
    <t>Cardiology</t>
  </si>
  <si>
    <t>Gastroenterology</t>
  </si>
  <si>
    <t>General Practice</t>
  </si>
  <si>
    <t>Neurology</t>
  </si>
  <si>
    <t>None</t>
  </si>
  <si>
    <t>Orthopedics</t>
  </si>
  <si>
    <t>Physiotherapy</t>
  </si>
  <si>
    <t>Renal</t>
  </si>
  <si>
    <t>Count of Department Referral</t>
  </si>
  <si>
    <t>1-Jun</t>
  </si>
  <si>
    <t>2-Jun</t>
  </si>
  <si>
    <t>3-Jun</t>
  </si>
  <si>
    <t>4-Jun</t>
  </si>
  <si>
    <t>5-Jun</t>
  </si>
  <si>
    <t>6-Jun</t>
  </si>
  <si>
    <t>7-Jun</t>
  </si>
  <si>
    <t>8-Jun</t>
  </si>
  <si>
    <t>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</si>
  <si>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</si>
  <si>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</si>
  <si>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</si>
  <si>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</si>
  <si>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</si>
  <si>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</si>
  <si>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</si>
  <si>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</si>
  <si>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</si>
  <si>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</si>
  <si>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</si>
  <si>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</si>
  <si>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</si>
  <si>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</si>
  <si>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</si>
  <si>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</si>
  <si>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</si>
  <si>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</si>
  <si>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</si>
  <si>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</si>
  <si>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</si>
  <si>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2024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</si>
</sst>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 x14ac:knownFonts="1">
    <font>
      <sz val="11"/>
      <color theme="1"/>
      <name val="Aptos Narrow"/>
      <family val="2"/>
      <scheme val="minor"/>
    </font>
    <font>
      <sz val="11"/>
      <color theme="1"/>
      <name val="Aptos Narrow"/>
      <family val="2"/>
      <scheme val="minor"/>
    </font>
    <font>
      <b/>
      <sz val="11"/>
      <color theme="1"/>
      <name val="Aptos Narrow"/>
      <family val="2"/>
      <scheme val="minor"/>
    </font>
  </fonts>
  <fills count="5">
    <fill>
      <patternFill patternType="none"/>
    </fill>
    <fill>
      <patternFill patternType="gray125"/>
    </fill>
    <fill>
      <patternFill patternType="solid">
        <fgColor theme="2" tint="-0.499984740745262"/>
        <bgColor indexed="64"/>
      </patternFill>
    </fill>
    <fill>
      <patternFill patternType="solid">
        <fgColor theme="3" tint="0.499984740745262"/>
        <bgColor indexed="64"/>
      </patternFill>
    </fill>
    <fill>
      <patternFill patternType="solid">
        <fgColor theme="0" tint="-0.249977111117893"/>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13">
    <xf numFmtId="0" fontId="0" fillId="0" borderId="0" xfId="0"/>
    <xf numFmtId="0" fontId="0" fillId="0" borderId="0" xfId="0" pivotButton="1"/>
    <xf numFmtId="0" fontId="0" fillId="0" borderId="0" xfId="0" applyAlignment="1">
      <alignment horizontal="left"/>
    </xf>
    <xf numFmtId="2" fontId="0" fillId="0" borderId="0" xfId="0" applyNumberFormat="1"/>
    <xf numFmtId="0" fontId="0" fillId="2" borderId="0" xfId="0" applyFill="1"/>
    <xf numFmtId="1" fontId="0" fillId="0" borderId="0" xfId="0" applyNumberFormat="1"/>
    <xf numFmtId="10" fontId="0" fillId="0" borderId="0" xfId="0" applyNumberFormat="1"/>
    <xf numFmtId="0" fontId="0" fillId="3" borderId="0" xfId="0" applyFill="1"/>
    <xf numFmtId="0" fontId="2" fillId="3" borderId="0" xfId="0" applyFont="1" applyFill="1" applyAlignment="1">
      <alignment horizontal="left"/>
    </xf>
    <xf numFmtId="0" fontId="2" fillId="3" borderId="0" xfId="0" applyFont="1" applyFill="1"/>
    <xf numFmtId="0" fontId="0" fillId="4" borderId="0" xfId="0" applyFill="1"/>
    <xf numFmtId="10" fontId="1" fillId="4" borderId="0" xfId="1" applyNumberFormat="1" applyFont="1" applyFill="1"/>
    <xf numFmtId="0" fontId="0" fillId="0" borderId="0" xfId="0" applyNumberFormat="1"/>
  </cellXfs>
  <cellStyles count="2">
    <cellStyle name="Normal" xfId="0" builtinId="0"/>
    <cellStyle name="Percent" xfId="1" builtinId="5"/>
  </cellStyles>
  <dxfs count="137">
    <dxf>
      <numFmt numFmtId="1" formatCode="0"/>
    </dxf>
    <dxf>
      <numFmt numFmtId="1" formatCode="0"/>
    </dxf>
    <dxf>
      <numFmt numFmtId="1" formatCode="0"/>
    </dxf>
    <dxf>
      <numFmt numFmtId="1" formatCode="0"/>
    </dxf>
    <dxf>
      <numFmt numFmtId="14" formatCode="0.00%"/>
    </dxf>
    <dxf>
      <numFmt numFmtId="2" formatCode="0.00"/>
    </dxf>
    <dxf>
      <numFmt numFmtId="2" formatCode="0.00"/>
    </dxf>
    <dxf>
      <numFmt numFmtId="2" formatCode="0.00"/>
    </dxf>
    <dxf>
      <numFmt numFmtId="2" formatCode="0.0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4" formatCode="0.00%"/>
    </dxf>
    <dxf>
      <numFmt numFmtId="2" formatCode="0.00"/>
    </dxf>
    <dxf>
      <numFmt numFmtId="2" formatCode="0.00"/>
    </dxf>
    <dxf>
      <numFmt numFmtId="2" formatCode="0.00"/>
    </dxf>
    <dxf>
      <numFmt numFmtId="2" formatCode="0.0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4" formatCode="0.00%"/>
    </dxf>
    <dxf>
      <numFmt numFmtId="2" formatCode="0.00"/>
    </dxf>
    <dxf>
      <numFmt numFmtId="2" formatCode="0.00"/>
    </dxf>
    <dxf>
      <numFmt numFmtId="2" formatCode="0.00"/>
    </dxf>
    <dxf>
      <numFmt numFmtId="2" formatCode="0.0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4" formatCode="0.00%"/>
    </dxf>
    <dxf>
      <numFmt numFmtId="2" formatCode="0.00"/>
    </dxf>
    <dxf>
      <numFmt numFmtId="2" formatCode="0.00"/>
    </dxf>
    <dxf>
      <numFmt numFmtId="2" formatCode="0.00"/>
    </dxf>
    <dxf>
      <numFmt numFmtId="2" formatCode="0.0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4" formatCode="0.00%"/>
    </dxf>
    <dxf>
      <numFmt numFmtId="2" formatCode="0.00"/>
    </dxf>
    <dxf>
      <numFmt numFmtId="2" formatCode="0.00"/>
    </dxf>
    <dxf>
      <numFmt numFmtId="2" formatCode="0.00"/>
    </dxf>
    <dxf>
      <numFmt numFmtId="2" formatCode="0.0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4" formatCode="0.00%"/>
    </dxf>
    <dxf>
      <numFmt numFmtId="2" formatCode="0.00"/>
    </dxf>
    <dxf>
      <numFmt numFmtId="2" formatCode="0.00"/>
    </dxf>
    <dxf>
      <numFmt numFmtId="2" formatCode="0.00"/>
    </dxf>
    <dxf>
      <numFmt numFmtId="2" formatCode="0.0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4" formatCode="0.00%"/>
    </dxf>
    <dxf>
      <numFmt numFmtId="2" formatCode="0.00"/>
    </dxf>
    <dxf>
      <numFmt numFmtId="2" formatCode="0.00"/>
    </dxf>
    <dxf>
      <numFmt numFmtId="2" formatCode="0.00"/>
    </dxf>
    <dxf>
      <numFmt numFmtId="2" formatCode="0.0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2" formatCode="0.00"/>
    </dxf>
    <dxf>
      <numFmt numFmtId="2" formatCode="0.00"/>
    </dxf>
    <dxf>
      <numFmt numFmtId="1" formatCode="0"/>
    </dxf>
    <dxf>
      <numFmt numFmtId="1" formatCode="0"/>
    </dxf>
    <dxf>
      <numFmt numFmtId="1" formatCode="0"/>
    </dxf>
    <dxf>
      <numFmt numFmtId="1" formatCode="0"/>
    </dxf>
    <dxf>
      <numFmt numFmtId="14" formatCode="0.00%"/>
    </dxf>
    <dxf>
      <numFmt numFmtId="1" formatCode="0"/>
    </dxf>
    <dxf>
      <numFmt numFmtId="1" formatCode="0"/>
    </dxf>
    <dxf>
      <numFmt numFmtId="2" formatCode="0.00"/>
    </dxf>
    <dxf>
      <numFmt numFmtId="1" formatCode="0"/>
    </dxf>
    <dxf>
      <numFmt numFmtId="1" formatCode="0"/>
    </dxf>
    <dxf>
      <numFmt numFmtId="2" formatCode="0.00"/>
    </dxf>
    <dxf>
      <numFmt numFmtId="1" formatCode="0"/>
    </dxf>
    <dxf>
      <numFmt numFmtId="1" formatCode="0"/>
    </dxf>
    <dxf>
      <font>
        <sz val="8"/>
        <color theme="1"/>
      </font>
      <fill>
        <patternFill>
          <bgColor theme="4" tint="-0.24994659260841701"/>
        </patternFill>
      </fill>
    </dxf>
  </dxfs>
  <tableStyles count="1" defaultTableStyle="TableStyleMedium2" defaultPivotStyle="PivotStyleLight16">
    <tableStyle name="Slicer Style 1" pivot="0" table="0" count="2" xr9:uid="{F823340C-FBDA-4974-84D5-E51CABAD0582}">
      <tableStyleElement type="wholeTable" dxfId="136"/>
    </tableStyle>
  </tableStyles>
  <extLst>
    <ext xmlns:x14="http://schemas.microsoft.com/office/spreadsheetml/2009/9/main" uri="{46F421CA-312F-682f-3DD2-61675219B42D}">
      <x14:dxfs count="1">
        <dxf>
          <font>
            <color theme="2" tint="-0.24994659260841701"/>
          </font>
        </dxf>
      </x14:dxfs>
    </ext>
    <ext xmlns:x14="http://schemas.microsoft.com/office/spreadsheetml/2009/9/main" uri="{EB79DEF2-80B8-43e5-95BD-54CBDDF9020C}">
      <x14:slicerStyles defaultSlicerStyle="SlicerStyleLight1">
        <x14:slicerStyle name="Slicer Style 1">
          <x14:slicerStyleElements>
            <x14:slicerStyleElement type="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8.xml"/><Relationship Id="rId18" Type="http://schemas.openxmlformats.org/officeDocument/2006/relationships/pivotCacheDefinition" Target="pivotCache/pivotCacheDefinition13.xml"/><Relationship Id="rId26" Type="http://schemas.openxmlformats.org/officeDocument/2006/relationships/calcChain" Target="calcChain.xml"/><Relationship Id="rId39" Type="http://schemas.openxmlformats.org/officeDocument/2006/relationships/customXml" Target="../customXml/item13.xml"/><Relationship Id="rId21" Type="http://schemas.openxmlformats.org/officeDocument/2006/relationships/theme" Target="theme/theme1.xml"/><Relationship Id="rId34" Type="http://schemas.openxmlformats.org/officeDocument/2006/relationships/customXml" Target="../customXml/item8.xml"/><Relationship Id="rId42" Type="http://schemas.openxmlformats.org/officeDocument/2006/relationships/customXml" Target="../customXml/item16.xml"/><Relationship Id="rId7" Type="http://schemas.openxmlformats.org/officeDocument/2006/relationships/pivotCacheDefinition" Target="pivotCache/pivotCacheDefinition2.xml"/><Relationship Id="rId2" Type="http://schemas.openxmlformats.org/officeDocument/2006/relationships/worksheet" Target="worksheets/sheet2.xml"/><Relationship Id="rId16" Type="http://schemas.openxmlformats.org/officeDocument/2006/relationships/pivotCacheDefinition" Target="pivotCache/pivotCacheDefinition11.xml"/><Relationship Id="rId20" Type="http://schemas.microsoft.com/office/2007/relationships/slicerCache" Target="slicerCaches/slicerCache2.xml"/><Relationship Id="rId29" Type="http://schemas.openxmlformats.org/officeDocument/2006/relationships/customXml" Target="../customXml/item3.xml"/><Relationship Id="rId41" Type="http://schemas.openxmlformats.org/officeDocument/2006/relationships/customXml" Target="../customXml/item15.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pivotCacheDefinition" Target="pivotCache/pivotCacheDefinition6.xml"/><Relationship Id="rId24" Type="http://schemas.openxmlformats.org/officeDocument/2006/relationships/sharedStrings" Target="sharedStrings.xml"/><Relationship Id="rId32" Type="http://schemas.openxmlformats.org/officeDocument/2006/relationships/customXml" Target="../customXml/item6.xml"/><Relationship Id="rId37" Type="http://schemas.openxmlformats.org/officeDocument/2006/relationships/customXml" Target="../customXml/item11.xml"/><Relationship Id="rId40" Type="http://schemas.openxmlformats.org/officeDocument/2006/relationships/customXml" Target="../customXml/item14.xml"/><Relationship Id="rId5" Type="http://schemas.openxmlformats.org/officeDocument/2006/relationships/worksheet" Target="worksheets/sheet5.xml"/><Relationship Id="rId15" Type="http://schemas.openxmlformats.org/officeDocument/2006/relationships/pivotCacheDefinition" Target="pivotCache/pivotCacheDefinition10.xml"/><Relationship Id="rId23" Type="http://schemas.openxmlformats.org/officeDocument/2006/relationships/styles" Target="styles.xml"/><Relationship Id="rId28" Type="http://schemas.openxmlformats.org/officeDocument/2006/relationships/customXml" Target="../customXml/item2.xml"/><Relationship Id="rId36" Type="http://schemas.openxmlformats.org/officeDocument/2006/relationships/customXml" Target="../customXml/item10.xml"/><Relationship Id="rId10" Type="http://schemas.openxmlformats.org/officeDocument/2006/relationships/pivotCacheDefinition" Target="pivotCache/pivotCacheDefinition5.xml"/><Relationship Id="rId19" Type="http://schemas.microsoft.com/office/2007/relationships/slicerCache" Target="slicerCaches/slicerCache1.xml"/><Relationship Id="rId31" Type="http://schemas.openxmlformats.org/officeDocument/2006/relationships/customXml" Target="../customXml/item5.xml"/><Relationship Id="rId44" Type="http://schemas.openxmlformats.org/officeDocument/2006/relationships/customXml" Target="../customXml/item18.xml"/><Relationship Id="rId4" Type="http://schemas.openxmlformats.org/officeDocument/2006/relationships/worksheet" Target="worksheets/sheet4.xml"/><Relationship Id="rId9" Type="http://schemas.openxmlformats.org/officeDocument/2006/relationships/pivotCacheDefinition" Target="pivotCache/pivotCacheDefinition4.xml"/><Relationship Id="rId14" Type="http://schemas.openxmlformats.org/officeDocument/2006/relationships/pivotCacheDefinition" Target="pivotCache/pivotCacheDefinition9.xml"/><Relationship Id="rId22" Type="http://schemas.openxmlformats.org/officeDocument/2006/relationships/connections" Target="connections.xml"/><Relationship Id="rId27" Type="http://schemas.openxmlformats.org/officeDocument/2006/relationships/customXml" Target="../customXml/item1.xml"/><Relationship Id="rId30" Type="http://schemas.openxmlformats.org/officeDocument/2006/relationships/customXml" Target="../customXml/item4.xml"/><Relationship Id="rId35" Type="http://schemas.openxmlformats.org/officeDocument/2006/relationships/customXml" Target="../customXml/item9.xml"/><Relationship Id="rId43" Type="http://schemas.openxmlformats.org/officeDocument/2006/relationships/customXml" Target="../customXml/item17.xml"/><Relationship Id="rId8" Type="http://schemas.openxmlformats.org/officeDocument/2006/relationships/pivotCacheDefinition" Target="pivotCache/pivotCacheDefinition3.xml"/><Relationship Id="rId3" Type="http://schemas.openxmlformats.org/officeDocument/2006/relationships/worksheet" Target="worksheets/sheet3.xml"/><Relationship Id="rId12" Type="http://schemas.openxmlformats.org/officeDocument/2006/relationships/pivotCacheDefinition" Target="pivotCache/pivotCacheDefinition7.xml"/><Relationship Id="rId17" Type="http://schemas.openxmlformats.org/officeDocument/2006/relationships/pivotCacheDefinition" Target="pivotCache/pivotCacheDefinition12.xml"/><Relationship Id="rId25" Type="http://schemas.openxmlformats.org/officeDocument/2006/relationships/powerPivotData" Target="model/item.data"/><Relationship Id="rId33" Type="http://schemas.openxmlformats.org/officeDocument/2006/relationships/customXml" Target="../customXml/item7.xml"/><Relationship Id="rId38" Type="http://schemas.openxmlformats.org/officeDocument/2006/relationships/customXml" Target="../customXml/item12.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5.xlsm]Pivort Data!PivotTable7</c:name>
    <c:fmtId val="0"/>
  </c:pivotSource>
  <c:chart>
    <c:autoTitleDeleted val="0"/>
    <c:pivotFmts>
      <c:pivotFmt>
        <c:idx val="0"/>
        <c:spPr>
          <a:solidFill>
            <a:schemeClr val="bg1"/>
          </a:solidFill>
          <a:ln>
            <a:noFill/>
          </a:ln>
          <a:effectLst/>
        </c:spPr>
        <c:marker>
          <c:symbol val="none"/>
        </c:marker>
        <c:dLbl>
          <c:idx val="0"/>
          <c:spPr>
            <a:noFill/>
            <a:ln>
              <a:noFill/>
            </a:ln>
            <a:effectLst/>
          </c:spPr>
          <c:txPr>
            <a:bodyPr rot="0" spcFirstLastPara="1" vertOverflow="ellipsis" vert="horz" wrap="none" lIns="38100" tIns="19050" rIns="38100" bIns="19050" anchor="ctr" anchorCtr="1">
              <a:spAutoFit/>
            </a:bodyPr>
            <a:lstStyle/>
            <a:p>
              <a:pPr>
                <a:defRPr sz="800" b="1"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Lst>
        </c:dLbl>
      </c:pivotFmt>
      <c:pivotFmt>
        <c:idx val="1"/>
        <c:spPr>
          <a:solidFill>
            <a:schemeClr val="accent2"/>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bg1"/>
          </a:solidFill>
          <a:ln>
            <a:noFill/>
          </a:ln>
          <a:effectLst/>
        </c:spPr>
        <c:dLbl>
          <c:idx val="0"/>
          <c:tx>
            <c:rich>
              <a:bodyPr rot="0" spcFirstLastPara="1" vertOverflow="ellipsis" vert="horz" wrap="none" lIns="38100" tIns="19050" rIns="38100" bIns="19050" anchor="ctr" anchorCtr="1">
                <a:spAutoFit/>
              </a:bodyPr>
              <a:lstStyle/>
              <a:p>
                <a:pPr>
                  <a:defRPr sz="800" b="1" i="0" u="none" strike="noStrike" kern="1200" baseline="0">
                    <a:solidFill>
                      <a:schemeClr val="tx1"/>
                    </a:solidFill>
                    <a:latin typeface="+mn-lt"/>
                    <a:ea typeface="+mn-ea"/>
                    <a:cs typeface="+mn-cs"/>
                  </a:defRPr>
                </a:pPr>
                <a:fld id="{F33E9F6D-6F22-413F-A393-1C32CED6F7C5}" type="CELLRANGE">
                  <a:rPr lang="en-US"/>
                  <a:pPr>
                    <a:defRPr sz="800" b="1" i="0" u="none" strike="noStrike" kern="1200" baseline="0">
                      <a:solidFill>
                        <a:schemeClr val="tx1"/>
                      </a:solidFill>
                      <a:latin typeface="+mn-lt"/>
                      <a:ea typeface="+mn-ea"/>
                      <a:cs typeface="+mn-cs"/>
                    </a:defRPr>
                  </a:pPr>
                  <a:t>[CELLRANGE]</a:t>
                </a:fld>
                <a:endParaRPr lang="en-IN"/>
              </a:p>
            </c:rich>
          </c:tx>
          <c:spPr>
            <a:noFill/>
            <a:ln>
              <a:noFill/>
            </a:ln>
            <a:effectLst/>
          </c:sp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showDataLabelsRange val="1"/>
            </c:ext>
          </c:extLst>
        </c:dLbl>
      </c:pivotFmt>
      <c:pivotFmt>
        <c:idx val="3"/>
        <c:dLbl>
          <c:idx val="0"/>
          <c:tx>
            <c:rich>
              <a:bodyPr rot="0" spcFirstLastPara="1" vertOverflow="ellipsis" vert="horz" wrap="none" lIns="38100" tIns="19050" rIns="38100" bIns="19050" anchor="ctr" anchorCtr="1">
                <a:spAutoFit/>
              </a:bodyPr>
              <a:lstStyle/>
              <a:p>
                <a:pPr>
                  <a:defRPr sz="800" b="1" i="0" u="none" strike="noStrike" kern="1200" baseline="0">
                    <a:solidFill>
                      <a:schemeClr val="tx1"/>
                    </a:solidFill>
                    <a:latin typeface="+mn-lt"/>
                    <a:ea typeface="+mn-ea"/>
                    <a:cs typeface="+mn-cs"/>
                  </a:defRPr>
                </a:pPr>
                <a:fld id="{827BC121-9DAC-4758-997E-B1F0DB146D21}" type="CELLRANGE">
                  <a:rPr lang="en-US"/>
                  <a:pPr>
                    <a:defRPr sz="800" b="1" i="0" u="none" strike="noStrike" kern="1200" baseline="0">
                      <a:solidFill>
                        <a:schemeClr val="tx1"/>
                      </a:solidFill>
                      <a:latin typeface="+mn-lt"/>
                      <a:ea typeface="+mn-ea"/>
                      <a:cs typeface="+mn-cs"/>
                    </a:defRPr>
                  </a:pPr>
                  <a:t>[CELLRANGE]</a:t>
                </a:fld>
                <a:endParaRPr lang="en-IN"/>
              </a:p>
            </c:rich>
          </c:tx>
          <c:spPr>
            <a:noFill/>
            <a:ln>
              <a:noFill/>
            </a:ln>
            <a:effectLst/>
          </c:sp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xForSave val="1"/>
              <c15:showDataLabelsRange val="1"/>
            </c:ext>
          </c:extLst>
        </c:dLbl>
      </c:pivotFmt>
    </c:pivotFmts>
    <c:plotArea>
      <c:layout>
        <c:manualLayout>
          <c:layoutTarget val="inner"/>
          <c:xMode val="edge"/>
          <c:yMode val="edge"/>
          <c:x val="2.207108169449833E-2"/>
          <c:y val="0.24413109440524283"/>
          <c:w val="0.96759354356067795"/>
          <c:h val="0.54929644109801323"/>
        </c:manualLayout>
      </c:layout>
      <c:barChart>
        <c:barDir val="bar"/>
        <c:grouping val="clustered"/>
        <c:varyColors val="0"/>
        <c:ser>
          <c:idx val="0"/>
          <c:order val="0"/>
          <c:tx>
            <c:strRef>
              <c:f>'Pivort Data'!$C$39:$C$40</c:f>
              <c:strCache>
                <c:ptCount val="1"/>
                <c:pt idx="0">
                  <c:v>Count of Patient Admission Flag</c:v>
                </c:pt>
              </c:strCache>
            </c:strRef>
          </c:tx>
          <c:spPr>
            <a:solidFill>
              <a:schemeClr val="bg1"/>
            </a:solidFill>
            <a:ln>
              <a:noFill/>
            </a:ln>
            <a:effectLst/>
          </c:spPr>
          <c:invertIfNegative val="0"/>
          <c:dPt>
            <c:idx val="0"/>
            <c:invertIfNegative val="0"/>
            <c:bubble3D val="0"/>
            <c:extLst>
              <c:ext xmlns:c16="http://schemas.microsoft.com/office/drawing/2014/chart" uri="{C3380CC4-5D6E-409C-BE32-E72D297353CC}">
                <c16:uniqueId val="{00000003-2081-437C-B435-805E33A6438F}"/>
              </c:ext>
            </c:extLst>
          </c:dPt>
          <c:dPt>
            <c:idx val="1"/>
            <c:invertIfNegative val="0"/>
            <c:bubble3D val="0"/>
            <c:extLst>
              <c:ext xmlns:c16="http://schemas.microsoft.com/office/drawing/2014/chart" uri="{C3380CC4-5D6E-409C-BE32-E72D297353CC}">
                <c16:uniqueId val="{00000004-2081-437C-B435-805E33A6438F}"/>
              </c:ext>
            </c:extLst>
          </c:dPt>
          <c:dLbls>
            <c:dLbl>
              <c:idx val="0"/>
              <c:tx>
                <c:rich>
                  <a:bodyPr/>
                  <a:lstStyle/>
                  <a:p>
                    <a:fld id="{F33E9F6D-6F22-413F-A393-1C32CED6F7C5}"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2081-437C-B435-805E33A6438F}"/>
                </c:ext>
              </c:extLst>
            </c:dLbl>
            <c:dLbl>
              <c:idx val="1"/>
              <c:tx>
                <c:rich>
                  <a:bodyPr/>
                  <a:lstStyle/>
                  <a:p>
                    <a:fld id="{827BC121-9DAC-4758-997E-B1F0DB146D21}"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2081-437C-B435-805E33A6438F}"/>
                </c:ext>
              </c:extLst>
            </c:dLbl>
            <c:spPr>
              <a:noFill/>
              <a:ln>
                <a:noFill/>
              </a:ln>
              <a:effectLst/>
            </c:spPr>
            <c:txPr>
              <a:bodyPr rot="0" spcFirstLastPara="1" vertOverflow="ellipsis" vert="horz" wrap="none" lIns="38100" tIns="19050" rIns="38100" bIns="19050" anchor="ctr" anchorCtr="1">
                <a:spAutoFit/>
              </a:bodyPr>
              <a:lstStyle/>
              <a:p>
                <a:pPr>
                  <a:defRPr sz="800" b="1"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DataLabelsRange val="1"/>
                <c15:showLeaderLines val="0"/>
              </c:ext>
            </c:extLst>
          </c:dLbls>
          <c:cat>
            <c:strRef>
              <c:f>'Pivort Data'!$C$39:$C$40</c:f>
              <c:strCache>
                <c:ptCount val="2"/>
                <c:pt idx="0">
                  <c:v>Admitted</c:v>
                </c:pt>
                <c:pt idx="1">
                  <c:v>Not Admitted</c:v>
                </c:pt>
              </c:strCache>
            </c:strRef>
          </c:cat>
          <c:val>
            <c:numRef>
              <c:f>'Pivort Data'!$C$39:$C$40</c:f>
              <c:numCache>
                <c:formatCode>0</c:formatCode>
                <c:ptCount val="2"/>
                <c:pt idx="0">
                  <c:v>235</c:v>
                </c:pt>
                <c:pt idx="1">
                  <c:v>250</c:v>
                </c:pt>
              </c:numCache>
            </c:numRef>
          </c:val>
          <c:extLst>
            <c:ext xmlns:c15="http://schemas.microsoft.com/office/drawing/2012/chart" uri="{02D57815-91ED-43cb-92C2-25804820EDAC}">
              <c15:datalabelsRange>
                <c15:f>'Pivort Data'!$C$39:$C$40</c15:f>
                <c15:dlblRangeCache>
                  <c:ptCount val="2"/>
                  <c:pt idx="0">
                    <c:v>48.45%</c:v>
                  </c:pt>
                  <c:pt idx="1">
                    <c:v>51.55%</c:v>
                  </c:pt>
                </c15:dlblRangeCache>
              </c15:datalabelsRange>
            </c:ext>
            <c:ext xmlns:c16="http://schemas.microsoft.com/office/drawing/2014/chart" uri="{C3380CC4-5D6E-409C-BE32-E72D297353CC}">
              <c16:uniqueId val="{00000000-2081-437C-B435-805E33A6438F}"/>
            </c:ext>
          </c:extLst>
        </c:ser>
        <c:ser>
          <c:idx val="1"/>
          <c:order val="1"/>
          <c:tx>
            <c:strRef>
              <c:f>'Pivort Data'!$C$39:$C$40</c:f>
              <c:strCache>
                <c:ptCount val="1"/>
                <c:pt idx="0">
                  <c:v>Count of Patient Admission Flag2</c:v>
                </c:pt>
              </c:strCache>
            </c:strRef>
          </c:tx>
          <c:spPr>
            <a:solidFill>
              <a:schemeClr val="accent2"/>
            </a:solidFill>
            <a:ln>
              <a:noFill/>
            </a:ln>
            <a:effectLst/>
          </c:spPr>
          <c:invertIfNegative val="0"/>
          <c:cat>
            <c:strRef>
              <c:f>'Pivort Data'!$C$39:$C$40</c:f>
              <c:strCache>
                <c:ptCount val="2"/>
                <c:pt idx="0">
                  <c:v>Admitted</c:v>
                </c:pt>
                <c:pt idx="1">
                  <c:v>Not Admitted</c:v>
                </c:pt>
              </c:strCache>
            </c:strRef>
          </c:cat>
          <c:val>
            <c:numRef>
              <c:f>'Pivort Data'!$C$39:$C$40</c:f>
              <c:numCache>
                <c:formatCode>0.00%</c:formatCode>
                <c:ptCount val="2"/>
                <c:pt idx="0">
                  <c:v>0.4845360824742268</c:v>
                </c:pt>
                <c:pt idx="1">
                  <c:v>0.51546391752577314</c:v>
                </c:pt>
              </c:numCache>
            </c:numRef>
          </c:val>
          <c:extLst>
            <c:ext xmlns:c16="http://schemas.microsoft.com/office/drawing/2014/chart" uri="{C3380CC4-5D6E-409C-BE32-E72D297353CC}">
              <c16:uniqueId val="{00000001-2081-437C-B435-805E33A6438F}"/>
            </c:ext>
          </c:extLst>
        </c:ser>
        <c:dLbls>
          <c:showLegendKey val="0"/>
          <c:showVal val="0"/>
          <c:showCatName val="0"/>
          <c:showSerName val="0"/>
          <c:showPercent val="0"/>
          <c:showBubbleSize val="0"/>
        </c:dLbls>
        <c:gapWidth val="0"/>
        <c:axId val="2018197456"/>
        <c:axId val="2018208496"/>
      </c:barChart>
      <c:catAx>
        <c:axId val="2018197456"/>
        <c:scaling>
          <c:orientation val="minMax"/>
        </c:scaling>
        <c:delete val="1"/>
        <c:axPos val="l"/>
        <c:numFmt formatCode="General" sourceLinked="1"/>
        <c:majorTickMark val="none"/>
        <c:minorTickMark val="none"/>
        <c:tickLblPos val="nextTo"/>
        <c:crossAx val="2018208496"/>
        <c:crosses val="autoZero"/>
        <c:auto val="1"/>
        <c:lblAlgn val="ctr"/>
        <c:lblOffset val="100"/>
        <c:noMultiLvlLbl val="0"/>
      </c:catAx>
      <c:valAx>
        <c:axId val="2018208496"/>
        <c:scaling>
          <c:orientation val="minMax"/>
        </c:scaling>
        <c:delete val="1"/>
        <c:axPos val="b"/>
        <c:numFmt formatCode="0" sourceLinked="1"/>
        <c:majorTickMark val="none"/>
        <c:minorTickMark val="none"/>
        <c:tickLblPos val="nextTo"/>
        <c:crossAx val="20181974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5.xlsm]Pivort Data!PivotTable4</c:name>
    <c:fmtId val="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bg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6678969816272964E-2"/>
          <c:y val="5.0862927848304672E-2"/>
          <c:w val="0.9777544575754652"/>
          <c:h val="0.94272129700601581"/>
        </c:manualLayout>
      </c:layout>
      <c:areaChart>
        <c:grouping val="standard"/>
        <c:varyColors val="0"/>
        <c:ser>
          <c:idx val="0"/>
          <c:order val="0"/>
          <c:tx>
            <c:strRef>
              <c:f>'Pivort Data'!$D$3</c:f>
              <c:strCache>
                <c:ptCount val="1"/>
                <c:pt idx="0">
                  <c:v>Total</c:v>
                </c:pt>
              </c:strCache>
            </c:strRef>
          </c:tx>
          <c:spPr>
            <a:solidFill>
              <a:schemeClr val="bg1"/>
            </a:solidFill>
            <a:ln>
              <a:noFill/>
            </a:ln>
            <a:effectLst/>
          </c:spPr>
          <c:cat>
            <c:strRef>
              <c:f>'Pivort Data'!$C$4:$C$34</c:f>
              <c:strCache>
                <c:ptCount val="30"/>
                <c:pt idx="0">
                  <c:v>1-Jun</c:v>
                </c:pt>
                <c:pt idx="1">
                  <c:v>2-Jun</c:v>
                </c:pt>
                <c:pt idx="2">
                  <c:v>3-Jun</c:v>
                </c:pt>
                <c:pt idx="3">
                  <c:v>4-Jun</c:v>
                </c:pt>
                <c:pt idx="4">
                  <c:v>5-Jun</c:v>
                </c:pt>
                <c:pt idx="5">
                  <c:v>6-Jun</c:v>
                </c:pt>
                <c:pt idx="6">
                  <c:v>7-Jun</c:v>
                </c:pt>
                <c:pt idx="7">
                  <c:v>8-Jun</c:v>
                </c:pt>
                <c:pt idx="8">
                  <c:v>9-Jun</c:v>
                </c:pt>
                <c:pt idx="9">
                  <c:v>10-Jun</c:v>
                </c:pt>
                <c:pt idx="10">
                  <c:v>11-Jun</c:v>
                </c:pt>
                <c:pt idx="11">
                  <c:v>12-Jun</c:v>
                </c:pt>
                <c:pt idx="12">
                  <c:v>13-Jun</c:v>
                </c:pt>
                <c:pt idx="13">
                  <c:v>14-Jun</c:v>
                </c:pt>
                <c:pt idx="14">
                  <c:v>15-Jun</c:v>
                </c:pt>
                <c:pt idx="15">
                  <c:v>16-Jun</c:v>
                </c:pt>
                <c:pt idx="16">
                  <c:v>17-Jun</c:v>
                </c:pt>
                <c:pt idx="17">
                  <c:v>18-Jun</c:v>
                </c:pt>
                <c:pt idx="18">
                  <c:v>19-Jun</c:v>
                </c:pt>
                <c:pt idx="19">
                  <c:v>20-Jun</c:v>
                </c:pt>
                <c:pt idx="20">
                  <c:v>21-Jun</c:v>
                </c:pt>
                <c:pt idx="21">
                  <c:v>22-Jun</c:v>
                </c:pt>
                <c:pt idx="22">
                  <c:v>23-Jun</c:v>
                </c:pt>
                <c:pt idx="23">
                  <c:v>24-Jun</c:v>
                </c:pt>
                <c:pt idx="24">
                  <c:v>25-Jun</c:v>
                </c:pt>
                <c:pt idx="25">
                  <c:v>26-Jun</c:v>
                </c:pt>
                <c:pt idx="26">
                  <c:v>27-Jun</c:v>
                </c:pt>
                <c:pt idx="27">
                  <c:v>28-Jun</c:v>
                </c:pt>
                <c:pt idx="28">
                  <c:v>29-Jun</c:v>
                </c:pt>
                <c:pt idx="29">
                  <c:v>30-Jun</c:v>
                </c:pt>
              </c:strCache>
            </c:strRef>
          </c:cat>
          <c:val>
            <c:numRef>
              <c:f>'Pivort Data'!$D$4:$D$34</c:f>
              <c:numCache>
                <c:formatCode>General</c:formatCode>
                <c:ptCount val="30"/>
                <c:pt idx="0">
                  <c:v>17</c:v>
                </c:pt>
                <c:pt idx="1">
                  <c:v>10</c:v>
                </c:pt>
                <c:pt idx="2">
                  <c:v>23</c:v>
                </c:pt>
                <c:pt idx="3">
                  <c:v>15</c:v>
                </c:pt>
                <c:pt idx="4">
                  <c:v>14</c:v>
                </c:pt>
                <c:pt idx="5">
                  <c:v>11</c:v>
                </c:pt>
                <c:pt idx="6">
                  <c:v>15</c:v>
                </c:pt>
                <c:pt idx="7">
                  <c:v>20</c:v>
                </c:pt>
                <c:pt idx="8">
                  <c:v>21</c:v>
                </c:pt>
                <c:pt idx="9">
                  <c:v>17</c:v>
                </c:pt>
                <c:pt idx="10">
                  <c:v>17</c:v>
                </c:pt>
                <c:pt idx="11">
                  <c:v>17</c:v>
                </c:pt>
                <c:pt idx="12">
                  <c:v>17</c:v>
                </c:pt>
                <c:pt idx="13">
                  <c:v>11</c:v>
                </c:pt>
                <c:pt idx="14">
                  <c:v>23</c:v>
                </c:pt>
                <c:pt idx="15">
                  <c:v>14</c:v>
                </c:pt>
                <c:pt idx="16">
                  <c:v>22</c:v>
                </c:pt>
                <c:pt idx="17">
                  <c:v>16</c:v>
                </c:pt>
                <c:pt idx="18">
                  <c:v>13</c:v>
                </c:pt>
                <c:pt idx="19">
                  <c:v>14</c:v>
                </c:pt>
                <c:pt idx="20">
                  <c:v>12</c:v>
                </c:pt>
                <c:pt idx="21">
                  <c:v>12</c:v>
                </c:pt>
                <c:pt idx="22">
                  <c:v>20</c:v>
                </c:pt>
                <c:pt idx="23">
                  <c:v>19</c:v>
                </c:pt>
                <c:pt idx="24">
                  <c:v>13</c:v>
                </c:pt>
                <c:pt idx="25">
                  <c:v>15</c:v>
                </c:pt>
                <c:pt idx="26">
                  <c:v>19</c:v>
                </c:pt>
                <c:pt idx="27">
                  <c:v>17</c:v>
                </c:pt>
                <c:pt idx="28">
                  <c:v>15</c:v>
                </c:pt>
                <c:pt idx="29">
                  <c:v>16</c:v>
                </c:pt>
              </c:numCache>
            </c:numRef>
          </c:val>
          <c:extLst>
            <c:ext xmlns:c16="http://schemas.microsoft.com/office/drawing/2014/chart" uri="{C3380CC4-5D6E-409C-BE32-E72D297353CC}">
              <c16:uniqueId val="{00000000-0356-454C-8446-93D14E0964E3}"/>
            </c:ext>
          </c:extLst>
        </c:ser>
        <c:dLbls>
          <c:showLegendKey val="0"/>
          <c:showVal val="0"/>
          <c:showCatName val="0"/>
          <c:showSerName val="0"/>
          <c:showPercent val="0"/>
          <c:showBubbleSize val="0"/>
        </c:dLbls>
        <c:axId val="1326723119"/>
        <c:axId val="1326709679"/>
      </c:areaChart>
      <c:catAx>
        <c:axId val="1326723119"/>
        <c:scaling>
          <c:orientation val="minMax"/>
        </c:scaling>
        <c:delete val="1"/>
        <c:axPos val="b"/>
        <c:numFmt formatCode="General" sourceLinked="1"/>
        <c:majorTickMark val="out"/>
        <c:minorTickMark val="none"/>
        <c:tickLblPos val="nextTo"/>
        <c:crossAx val="1326709679"/>
        <c:crosses val="autoZero"/>
        <c:auto val="1"/>
        <c:lblAlgn val="ctr"/>
        <c:lblOffset val="100"/>
        <c:noMultiLvlLbl val="0"/>
      </c:catAx>
      <c:valAx>
        <c:axId val="1326709679"/>
        <c:scaling>
          <c:orientation val="minMax"/>
        </c:scaling>
        <c:delete val="1"/>
        <c:axPos val="l"/>
        <c:numFmt formatCode="General" sourceLinked="1"/>
        <c:majorTickMark val="none"/>
        <c:minorTickMark val="none"/>
        <c:tickLblPos val="nextTo"/>
        <c:crossAx val="1326723119"/>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5.xlsm]Pivort Data!PivotTable5</c:name>
    <c:fmtId val="1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bg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5873015873015872E-2"/>
          <c:y val="0.10679642572768291"/>
          <c:w val="0.98412698412698407"/>
          <c:h val="0.87541537644873046"/>
        </c:manualLayout>
      </c:layout>
      <c:areaChart>
        <c:grouping val="standard"/>
        <c:varyColors val="0"/>
        <c:ser>
          <c:idx val="0"/>
          <c:order val="0"/>
          <c:tx>
            <c:strRef>
              <c:f>'Pivort Data'!$G$3</c:f>
              <c:strCache>
                <c:ptCount val="1"/>
                <c:pt idx="0">
                  <c:v>Total</c:v>
                </c:pt>
              </c:strCache>
            </c:strRef>
          </c:tx>
          <c:spPr>
            <a:solidFill>
              <a:schemeClr val="bg1"/>
            </a:solidFill>
            <a:ln>
              <a:noFill/>
            </a:ln>
            <a:effectLst/>
          </c:spPr>
          <c:cat>
            <c:strRef>
              <c:f>'Pivort Data'!$F$4:$F$34</c:f>
              <c:strCache>
                <c:ptCount val="30"/>
                <c:pt idx="0">
                  <c:v>1-Jun</c:v>
                </c:pt>
                <c:pt idx="1">
                  <c:v>2-Jun</c:v>
                </c:pt>
                <c:pt idx="2">
                  <c:v>3-Jun</c:v>
                </c:pt>
                <c:pt idx="3">
                  <c:v>4-Jun</c:v>
                </c:pt>
                <c:pt idx="4">
                  <c:v>5-Jun</c:v>
                </c:pt>
                <c:pt idx="5">
                  <c:v>6-Jun</c:v>
                </c:pt>
                <c:pt idx="6">
                  <c:v>7-Jun</c:v>
                </c:pt>
                <c:pt idx="7">
                  <c:v>8-Jun</c:v>
                </c:pt>
                <c:pt idx="8">
                  <c:v>9-Jun</c:v>
                </c:pt>
                <c:pt idx="9">
                  <c:v>10-Jun</c:v>
                </c:pt>
                <c:pt idx="10">
                  <c:v>11-Jun</c:v>
                </c:pt>
                <c:pt idx="11">
                  <c:v>12-Jun</c:v>
                </c:pt>
                <c:pt idx="12">
                  <c:v>13-Jun</c:v>
                </c:pt>
                <c:pt idx="13">
                  <c:v>14-Jun</c:v>
                </c:pt>
                <c:pt idx="14">
                  <c:v>15-Jun</c:v>
                </c:pt>
                <c:pt idx="15">
                  <c:v>16-Jun</c:v>
                </c:pt>
                <c:pt idx="16">
                  <c:v>17-Jun</c:v>
                </c:pt>
                <c:pt idx="17">
                  <c:v>18-Jun</c:v>
                </c:pt>
                <c:pt idx="18">
                  <c:v>19-Jun</c:v>
                </c:pt>
                <c:pt idx="19">
                  <c:v>20-Jun</c:v>
                </c:pt>
                <c:pt idx="20">
                  <c:v>21-Jun</c:v>
                </c:pt>
                <c:pt idx="21">
                  <c:v>22-Jun</c:v>
                </c:pt>
                <c:pt idx="22">
                  <c:v>23-Jun</c:v>
                </c:pt>
                <c:pt idx="23">
                  <c:v>24-Jun</c:v>
                </c:pt>
                <c:pt idx="24">
                  <c:v>25-Jun</c:v>
                </c:pt>
                <c:pt idx="25">
                  <c:v>26-Jun</c:v>
                </c:pt>
                <c:pt idx="26">
                  <c:v>27-Jun</c:v>
                </c:pt>
                <c:pt idx="27">
                  <c:v>28-Jun</c:v>
                </c:pt>
                <c:pt idx="28">
                  <c:v>29-Jun</c:v>
                </c:pt>
                <c:pt idx="29">
                  <c:v>30-Jun</c:v>
                </c:pt>
              </c:strCache>
            </c:strRef>
          </c:cat>
          <c:val>
            <c:numRef>
              <c:f>'Pivort Data'!$G$4:$G$34</c:f>
              <c:numCache>
                <c:formatCode>0.00</c:formatCode>
                <c:ptCount val="30"/>
                <c:pt idx="0">
                  <c:v>33.352941176470587</c:v>
                </c:pt>
                <c:pt idx="1">
                  <c:v>38.4</c:v>
                </c:pt>
                <c:pt idx="2">
                  <c:v>38.521739130434781</c:v>
                </c:pt>
                <c:pt idx="3">
                  <c:v>30.4</c:v>
                </c:pt>
                <c:pt idx="4">
                  <c:v>33.142857142857146</c:v>
                </c:pt>
                <c:pt idx="5">
                  <c:v>38.18181818181818</c:v>
                </c:pt>
                <c:pt idx="6">
                  <c:v>39.733333333333334</c:v>
                </c:pt>
                <c:pt idx="7">
                  <c:v>37</c:v>
                </c:pt>
                <c:pt idx="8">
                  <c:v>35.61904761904762</c:v>
                </c:pt>
                <c:pt idx="9">
                  <c:v>34.176470588235297</c:v>
                </c:pt>
                <c:pt idx="10">
                  <c:v>37.176470588235297</c:v>
                </c:pt>
                <c:pt idx="11">
                  <c:v>36.647058823529413</c:v>
                </c:pt>
                <c:pt idx="12">
                  <c:v>34.941176470588232</c:v>
                </c:pt>
                <c:pt idx="13">
                  <c:v>44</c:v>
                </c:pt>
                <c:pt idx="14">
                  <c:v>38.913043478260867</c:v>
                </c:pt>
                <c:pt idx="15">
                  <c:v>31</c:v>
                </c:pt>
                <c:pt idx="16">
                  <c:v>34.227272727272727</c:v>
                </c:pt>
                <c:pt idx="17">
                  <c:v>31</c:v>
                </c:pt>
                <c:pt idx="18">
                  <c:v>32.153846153846153</c:v>
                </c:pt>
                <c:pt idx="19">
                  <c:v>32.785714285714285</c:v>
                </c:pt>
                <c:pt idx="20">
                  <c:v>30</c:v>
                </c:pt>
                <c:pt idx="21">
                  <c:v>33.5</c:v>
                </c:pt>
                <c:pt idx="22">
                  <c:v>32.950000000000003</c:v>
                </c:pt>
                <c:pt idx="23">
                  <c:v>35.842105263157897</c:v>
                </c:pt>
                <c:pt idx="24">
                  <c:v>33.846153846153847</c:v>
                </c:pt>
                <c:pt idx="25">
                  <c:v>39.06666666666667</c:v>
                </c:pt>
                <c:pt idx="26">
                  <c:v>36.684210526315788</c:v>
                </c:pt>
                <c:pt idx="27">
                  <c:v>33.764705882352942</c:v>
                </c:pt>
                <c:pt idx="28">
                  <c:v>34.533333333333331</c:v>
                </c:pt>
                <c:pt idx="29">
                  <c:v>42.125</c:v>
                </c:pt>
              </c:numCache>
            </c:numRef>
          </c:val>
          <c:extLst>
            <c:ext xmlns:c16="http://schemas.microsoft.com/office/drawing/2014/chart" uri="{C3380CC4-5D6E-409C-BE32-E72D297353CC}">
              <c16:uniqueId val="{00000000-2AC6-4CA9-B9B5-5964374893B4}"/>
            </c:ext>
          </c:extLst>
        </c:ser>
        <c:dLbls>
          <c:showLegendKey val="0"/>
          <c:showVal val="0"/>
          <c:showCatName val="0"/>
          <c:showSerName val="0"/>
          <c:showPercent val="0"/>
          <c:showBubbleSize val="0"/>
        </c:dLbls>
        <c:axId val="1326708719"/>
        <c:axId val="1326718319"/>
      </c:areaChart>
      <c:catAx>
        <c:axId val="1326708719"/>
        <c:scaling>
          <c:orientation val="minMax"/>
        </c:scaling>
        <c:delete val="1"/>
        <c:axPos val="b"/>
        <c:numFmt formatCode="General" sourceLinked="1"/>
        <c:majorTickMark val="out"/>
        <c:minorTickMark val="none"/>
        <c:tickLblPos val="nextTo"/>
        <c:crossAx val="1326718319"/>
        <c:crosses val="autoZero"/>
        <c:auto val="1"/>
        <c:lblAlgn val="ctr"/>
        <c:lblOffset val="100"/>
        <c:noMultiLvlLbl val="0"/>
      </c:catAx>
      <c:valAx>
        <c:axId val="1326718319"/>
        <c:scaling>
          <c:orientation val="minMax"/>
        </c:scaling>
        <c:delete val="1"/>
        <c:axPos val="l"/>
        <c:numFmt formatCode="0.00" sourceLinked="1"/>
        <c:majorTickMark val="none"/>
        <c:minorTickMark val="none"/>
        <c:tickLblPos val="nextTo"/>
        <c:crossAx val="1326708719"/>
        <c:crosses val="autoZero"/>
        <c:crossBetween val="midCat"/>
      </c:valAx>
      <c:spPr>
        <a:noFill/>
        <a:ln w="25400">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5.xlsm]Pivort Data!PivotTable6</c:name>
    <c:fmtId val="24"/>
  </c:pivotSource>
  <c:chart>
    <c:autoTitleDeleted val="1"/>
    <c:pivotFmts>
      <c:pivotFmt>
        <c:idx val="0"/>
      </c:pivotFmt>
      <c:pivotFmt>
        <c:idx val="1"/>
      </c:pivotFmt>
      <c:pivotFmt>
        <c:idx val="2"/>
      </c:pivotFmt>
      <c:pivotFmt>
        <c:idx val="3"/>
        <c:dLbl>
          <c:idx val="0"/>
          <c:showLegendKey val="0"/>
          <c:showVal val="1"/>
          <c:showCatName val="0"/>
          <c:showSerName val="0"/>
          <c:showPercent val="0"/>
          <c:showBubbleSize val="0"/>
          <c:extLst>
            <c:ext xmlns:c15="http://schemas.microsoft.com/office/drawing/2012/chart" uri="{CE6537A1-D6FC-4f65-9D91-7224C49458BB}"/>
          </c:extLst>
        </c:dLbl>
      </c:pivotFmt>
      <c:pivotFmt>
        <c:idx val="4"/>
        <c:dLbl>
          <c:idx val="0"/>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bg1"/>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3333333333333332E-3"/>
          <c:y val="0.2180293501048218"/>
          <c:w val="0.9916666666666667"/>
          <c:h val="0.75494082107661076"/>
        </c:manualLayout>
      </c:layout>
      <c:areaChart>
        <c:grouping val="standard"/>
        <c:varyColors val="0"/>
        <c:ser>
          <c:idx val="0"/>
          <c:order val="0"/>
          <c:tx>
            <c:strRef>
              <c:f>'Pivort Data'!$J$3</c:f>
              <c:strCache>
                <c:ptCount val="1"/>
                <c:pt idx="0">
                  <c:v>Total</c:v>
                </c:pt>
              </c:strCache>
            </c:strRef>
          </c:tx>
          <c:spPr>
            <a:solidFill>
              <a:schemeClr val="bg1"/>
            </a:soli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'Pivort Data'!$I$4:$I$34</c:f>
              <c:strCache>
                <c:ptCount val="30"/>
                <c:pt idx="0">
                  <c:v>1-Jun</c:v>
                </c:pt>
                <c:pt idx="1">
                  <c:v>2-Jun</c:v>
                </c:pt>
                <c:pt idx="2">
                  <c:v>3-Jun</c:v>
                </c:pt>
                <c:pt idx="3">
                  <c:v>4-Jun</c:v>
                </c:pt>
                <c:pt idx="4">
                  <c:v>5-Jun</c:v>
                </c:pt>
                <c:pt idx="5">
                  <c:v>6-Jun</c:v>
                </c:pt>
                <c:pt idx="6">
                  <c:v>7-Jun</c:v>
                </c:pt>
                <c:pt idx="7">
                  <c:v>8-Jun</c:v>
                </c:pt>
                <c:pt idx="8">
                  <c:v>9-Jun</c:v>
                </c:pt>
                <c:pt idx="9">
                  <c:v>10-Jun</c:v>
                </c:pt>
                <c:pt idx="10">
                  <c:v>11-Jun</c:v>
                </c:pt>
                <c:pt idx="11">
                  <c:v>12-Jun</c:v>
                </c:pt>
                <c:pt idx="12">
                  <c:v>13-Jun</c:v>
                </c:pt>
                <c:pt idx="13">
                  <c:v>14-Jun</c:v>
                </c:pt>
                <c:pt idx="14">
                  <c:v>15-Jun</c:v>
                </c:pt>
                <c:pt idx="15">
                  <c:v>16-Jun</c:v>
                </c:pt>
                <c:pt idx="16">
                  <c:v>17-Jun</c:v>
                </c:pt>
                <c:pt idx="17">
                  <c:v>18-Jun</c:v>
                </c:pt>
                <c:pt idx="18">
                  <c:v>19-Jun</c:v>
                </c:pt>
                <c:pt idx="19">
                  <c:v>20-Jun</c:v>
                </c:pt>
                <c:pt idx="20">
                  <c:v>21-Jun</c:v>
                </c:pt>
                <c:pt idx="21">
                  <c:v>22-Jun</c:v>
                </c:pt>
                <c:pt idx="22">
                  <c:v>23-Jun</c:v>
                </c:pt>
                <c:pt idx="23">
                  <c:v>24-Jun</c:v>
                </c:pt>
                <c:pt idx="24">
                  <c:v>25-Jun</c:v>
                </c:pt>
                <c:pt idx="25">
                  <c:v>26-Jun</c:v>
                </c:pt>
                <c:pt idx="26">
                  <c:v>27-Jun</c:v>
                </c:pt>
                <c:pt idx="27">
                  <c:v>28-Jun</c:v>
                </c:pt>
                <c:pt idx="28">
                  <c:v>29-Jun</c:v>
                </c:pt>
                <c:pt idx="29">
                  <c:v>30-Jun</c:v>
                </c:pt>
              </c:strCache>
            </c:strRef>
          </c:cat>
          <c:val>
            <c:numRef>
              <c:f>'Pivort Data'!$J$4:$J$34</c:f>
              <c:numCache>
                <c:formatCode>0.00</c:formatCode>
                <c:ptCount val="30"/>
                <c:pt idx="0">
                  <c:v>4.75</c:v>
                </c:pt>
                <c:pt idx="1">
                  <c:v>5.2</c:v>
                </c:pt>
                <c:pt idx="2">
                  <c:v>3.375</c:v>
                </c:pt>
                <c:pt idx="3">
                  <c:v>5.8</c:v>
                </c:pt>
                <c:pt idx="4">
                  <c:v>4.375</c:v>
                </c:pt>
                <c:pt idx="5">
                  <c:v>3</c:v>
                </c:pt>
                <c:pt idx="6">
                  <c:v>5</c:v>
                </c:pt>
                <c:pt idx="7">
                  <c:v>3</c:v>
                </c:pt>
                <c:pt idx="8">
                  <c:v>4.9090909090909092</c:v>
                </c:pt>
                <c:pt idx="9">
                  <c:v>3.8333333333333335</c:v>
                </c:pt>
                <c:pt idx="10">
                  <c:v>3.875</c:v>
                </c:pt>
                <c:pt idx="11">
                  <c:v>4.333333333333333</c:v>
                </c:pt>
                <c:pt idx="12">
                  <c:v>3.5</c:v>
                </c:pt>
                <c:pt idx="13">
                  <c:v>5.4</c:v>
                </c:pt>
                <c:pt idx="14">
                  <c:v>5.375</c:v>
                </c:pt>
                <c:pt idx="15">
                  <c:v>3.3333333333333335</c:v>
                </c:pt>
                <c:pt idx="16">
                  <c:v>6.2</c:v>
                </c:pt>
                <c:pt idx="17">
                  <c:v>1.6666666666666667</c:v>
                </c:pt>
                <c:pt idx="18">
                  <c:v>4.5</c:v>
                </c:pt>
                <c:pt idx="19">
                  <c:v>7.666666666666667</c:v>
                </c:pt>
                <c:pt idx="20">
                  <c:v>4.4000000000000004</c:v>
                </c:pt>
                <c:pt idx="21">
                  <c:v>6.5</c:v>
                </c:pt>
                <c:pt idx="22">
                  <c:v>5</c:v>
                </c:pt>
                <c:pt idx="23">
                  <c:v>5.25</c:v>
                </c:pt>
                <c:pt idx="24">
                  <c:v>4.75</c:v>
                </c:pt>
                <c:pt idx="25">
                  <c:v>5</c:v>
                </c:pt>
                <c:pt idx="26">
                  <c:v>4</c:v>
                </c:pt>
                <c:pt idx="27">
                  <c:v>5.333333333333333</c:v>
                </c:pt>
                <c:pt idx="28">
                  <c:v>6</c:v>
                </c:pt>
                <c:pt idx="29">
                  <c:v>6.333333333333333</c:v>
                </c:pt>
              </c:numCache>
            </c:numRef>
          </c:val>
          <c:extLst>
            <c:ext xmlns:c16="http://schemas.microsoft.com/office/drawing/2014/chart" uri="{C3380CC4-5D6E-409C-BE32-E72D297353CC}">
              <c16:uniqueId val="{00000000-4319-4FED-A792-92D33A9CC9DB}"/>
            </c:ext>
          </c:extLst>
        </c:ser>
        <c:dLbls>
          <c:showLegendKey val="0"/>
          <c:showVal val="1"/>
          <c:showCatName val="0"/>
          <c:showSerName val="0"/>
          <c:showPercent val="0"/>
          <c:showBubbleSize val="0"/>
        </c:dLbls>
        <c:axId val="1326738479"/>
        <c:axId val="1326751919"/>
      </c:areaChart>
      <c:catAx>
        <c:axId val="1326738479"/>
        <c:scaling>
          <c:orientation val="minMax"/>
        </c:scaling>
        <c:delete val="1"/>
        <c:axPos val="b"/>
        <c:numFmt formatCode="General" sourceLinked="1"/>
        <c:majorTickMark val="out"/>
        <c:minorTickMark val="none"/>
        <c:tickLblPos val="nextTo"/>
        <c:crossAx val="1326751919"/>
        <c:crosses val="autoZero"/>
        <c:auto val="1"/>
        <c:lblAlgn val="ctr"/>
        <c:lblOffset val="100"/>
        <c:noMultiLvlLbl val="0"/>
      </c:catAx>
      <c:valAx>
        <c:axId val="1326751919"/>
        <c:scaling>
          <c:orientation val="minMax"/>
        </c:scaling>
        <c:delete val="1"/>
        <c:axPos val="l"/>
        <c:numFmt formatCode="0.00" sourceLinked="1"/>
        <c:majorTickMark val="none"/>
        <c:minorTickMark val="none"/>
        <c:tickLblPos val="nextTo"/>
        <c:crossAx val="1326738479"/>
        <c:crosses val="autoZero"/>
        <c:crossBetween val="midCat"/>
      </c:valAx>
      <c:spPr>
        <a:noFill/>
        <a:ln w="25400">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5.xlsm]Pivort Data!PivotTable9</c:name>
    <c:fmtId val="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bg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'Pivort Data'!$B$49</c:f>
              <c:strCache>
                <c:ptCount val="1"/>
                <c:pt idx="0">
                  <c:v>Total</c:v>
                </c:pt>
              </c:strCache>
            </c:strRef>
          </c:tx>
          <c:spPr>
            <a:solidFill>
              <a:schemeClr val="bg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'Pivort Data'!$A$50:$A$58</c:f>
              <c:strCache>
                <c:ptCount val="8"/>
                <c:pt idx="0">
                  <c:v>0-09</c:v>
                </c:pt>
                <c:pt idx="1">
                  <c:v>10-19</c:v>
                </c:pt>
                <c:pt idx="2">
                  <c:v>20-29</c:v>
                </c:pt>
                <c:pt idx="3">
                  <c:v>30-39</c:v>
                </c:pt>
                <c:pt idx="4">
                  <c:v>40-49</c:v>
                </c:pt>
                <c:pt idx="5">
                  <c:v>50-59</c:v>
                </c:pt>
                <c:pt idx="6">
                  <c:v>60-69</c:v>
                </c:pt>
                <c:pt idx="7">
                  <c:v>70-79</c:v>
                </c:pt>
              </c:strCache>
            </c:strRef>
          </c:cat>
          <c:val>
            <c:numRef>
              <c:f>'Pivort Data'!$B$50:$B$58</c:f>
              <c:numCache>
                <c:formatCode>0</c:formatCode>
                <c:ptCount val="8"/>
                <c:pt idx="0">
                  <c:v>59</c:v>
                </c:pt>
                <c:pt idx="1">
                  <c:v>55</c:v>
                </c:pt>
                <c:pt idx="2">
                  <c:v>69</c:v>
                </c:pt>
                <c:pt idx="3">
                  <c:v>64</c:v>
                </c:pt>
                <c:pt idx="4">
                  <c:v>56</c:v>
                </c:pt>
                <c:pt idx="5">
                  <c:v>60</c:v>
                </c:pt>
                <c:pt idx="6">
                  <c:v>51</c:v>
                </c:pt>
                <c:pt idx="7">
                  <c:v>71</c:v>
                </c:pt>
              </c:numCache>
            </c:numRef>
          </c:val>
          <c:extLst>
            <c:ext xmlns:c16="http://schemas.microsoft.com/office/drawing/2014/chart" uri="{C3380CC4-5D6E-409C-BE32-E72D297353CC}">
              <c16:uniqueId val="{00000000-4CC4-495F-A411-7370330555F8}"/>
            </c:ext>
          </c:extLst>
        </c:ser>
        <c:dLbls>
          <c:showLegendKey val="0"/>
          <c:showVal val="0"/>
          <c:showCatName val="0"/>
          <c:showSerName val="0"/>
          <c:showPercent val="0"/>
          <c:showBubbleSize val="0"/>
        </c:dLbls>
        <c:gapWidth val="219"/>
        <c:overlap val="-27"/>
        <c:axId val="581485184"/>
        <c:axId val="581489504"/>
      </c:barChart>
      <c:catAx>
        <c:axId val="5814851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ysClr val="windowText" lastClr="000000"/>
                </a:solidFill>
                <a:latin typeface="+mn-lt"/>
                <a:ea typeface="+mn-ea"/>
                <a:cs typeface="+mn-cs"/>
              </a:defRPr>
            </a:pPr>
            <a:endParaRPr lang="en-US"/>
          </a:p>
        </c:txPr>
        <c:crossAx val="581489504"/>
        <c:crosses val="autoZero"/>
        <c:auto val="1"/>
        <c:lblAlgn val="ctr"/>
        <c:lblOffset val="100"/>
        <c:noMultiLvlLbl val="0"/>
      </c:catAx>
      <c:valAx>
        <c:axId val="581489504"/>
        <c:scaling>
          <c:orientation val="minMax"/>
        </c:scaling>
        <c:delete val="1"/>
        <c:axPos val="l"/>
        <c:numFmt formatCode="0" sourceLinked="1"/>
        <c:majorTickMark val="none"/>
        <c:minorTickMark val="none"/>
        <c:tickLblPos val="nextTo"/>
        <c:crossAx val="5814851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5.xlsm]Pivort Data!PivotTable10</c:name>
    <c:fmtId val="11"/>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spPr>
          <a:solidFill>
            <a:schemeClr val="accent1"/>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solidFill>
          <a:ln>
            <a:noFill/>
          </a:ln>
          <a:effectLst>
            <a:outerShdw blurRad="50800" dist="38100" dir="2700000" algn="tl" rotWithShape="0">
              <a:prstClr val="black">
                <a:alpha val="40000"/>
              </a:prstClr>
            </a:outerShdw>
          </a:effectLst>
        </c:spPr>
      </c:pivotFmt>
      <c:pivotFmt>
        <c:idx val="6"/>
        <c:spPr>
          <a:solidFill>
            <a:schemeClr val="accent1"/>
          </a:solidFill>
          <a:ln>
            <a:noFill/>
          </a:ln>
          <a:effectLst>
            <a:outerShdw blurRad="50800" dist="38100" dir="2700000" algn="tl" rotWithShape="0">
              <a:prstClr val="black">
                <a:alpha val="40000"/>
              </a:prstClr>
            </a:outerShdw>
          </a:effectLst>
        </c:spPr>
      </c:pivotFmt>
    </c:pivotFmts>
    <c:plotArea>
      <c:layout>
        <c:manualLayout>
          <c:layoutTarget val="inner"/>
          <c:xMode val="edge"/>
          <c:yMode val="edge"/>
          <c:x val="0.19559218310146465"/>
          <c:y val="0.26911741801505579"/>
          <c:w val="0.6171551361423333"/>
          <c:h val="0.8073093136085262"/>
        </c:manualLayout>
      </c:layout>
      <c:pieChart>
        <c:varyColors val="1"/>
        <c:ser>
          <c:idx val="0"/>
          <c:order val="0"/>
          <c:tx>
            <c:strRef>
              <c:f>'Pivort Data'!$B$62</c:f>
              <c:strCache>
                <c:ptCount val="1"/>
                <c:pt idx="0">
                  <c:v>Total</c:v>
                </c:pt>
              </c:strCache>
            </c:strRef>
          </c:tx>
          <c:spPr>
            <a:effectLst>
              <a:outerShdw blurRad="50800" dist="38100" dir="2700000" algn="tl" rotWithShape="0">
                <a:prstClr val="black">
                  <a:alpha val="40000"/>
                </a:prstClr>
              </a:outerShdw>
            </a:effectLst>
          </c:spPr>
          <c:dPt>
            <c:idx val="0"/>
            <c:bubble3D val="0"/>
            <c:spPr>
              <a:solidFill>
                <a:schemeClr val="accent1"/>
              </a:solidFill>
              <a:ln>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1-DAC8-4DA6-A9B4-6D8D2EEC1609}"/>
              </c:ext>
            </c:extLst>
          </c:dPt>
          <c:dPt>
            <c:idx val="1"/>
            <c:bubble3D val="0"/>
            <c:spPr>
              <a:solidFill>
                <a:schemeClr val="accent2"/>
              </a:solidFill>
              <a:ln>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3-DAC8-4DA6-A9B4-6D8D2EEC1609}"/>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'Pivort Data'!$A$63:$A$65</c:f>
              <c:strCache>
                <c:ptCount val="2"/>
                <c:pt idx="0">
                  <c:v>Delay</c:v>
                </c:pt>
                <c:pt idx="1">
                  <c:v>Ontime</c:v>
                </c:pt>
              </c:strCache>
            </c:strRef>
          </c:cat>
          <c:val>
            <c:numRef>
              <c:f>'Pivort Data'!$B$63:$B$65</c:f>
              <c:numCache>
                <c:formatCode>0</c:formatCode>
                <c:ptCount val="2"/>
                <c:pt idx="0">
                  <c:v>297</c:v>
                </c:pt>
                <c:pt idx="1">
                  <c:v>188</c:v>
                </c:pt>
              </c:numCache>
            </c:numRef>
          </c:val>
          <c:extLst>
            <c:ext xmlns:c16="http://schemas.microsoft.com/office/drawing/2014/chart" uri="{C3380CC4-5D6E-409C-BE32-E72D297353CC}">
              <c16:uniqueId val="{00000004-DAC8-4DA6-A9B4-6D8D2EEC1609}"/>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
          <c:y val="6.3119382804422185E-3"/>
          <c:w val="1"/>
          <c:h val="0.16919430525729739"/>
        </c:manualLayout>
      </c:layout>
      <c:overlay val="0"/>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5.xlsm]Pivort Data!PivotTable11</c:name>
    <c:fmtId val="2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dLbl>
          <c:idx val="0"/>
          <c:layout>
            <c:manualLayout>
              <c:x val="0.10582010582010581"/>
              <c:y val="-0.15834177511104189"/>
            </c:manualLayout>
          </c:layout>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dLbl>
          <c:idx val="0"/>
          <c:layout>
            <c:manualLayout>
              <c:x val="-9.5238095238095233E-2"/>
              <c:y val="0.16823813605548196"/>
            </c:manualLayout>
          </c:layout>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s>
    <c:plotArea>
      <c:layout>
        <c:manualLayout>
          <c:layoutTarget val="inner"/>
          <c:xMode val="edge"/>
          <c:yMode val="edge"/>
          <c:x val="0.15250593675790527"/>
          <c:y val="0.19629116253572967"/>
          <c:w val="0.7035112277631963"/>
          <c:h val="0.66119973374055363"/>
        </c:manualLayout>
      </c:layout>
      <c:doughnutChart>
        <c:varyColors val="1"/>
        <c:ser>
          <c:idx val="0"/>
          <c:order val="0"/>
          <c:tx>
            <c:strRef>
              <c:f>'Pivort Data'!$E$62</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1E3-4C1F-978F-D2D876C4BB0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81E3-4C1F-978F-D2D876C4BB02}"/>
              </c:ext>
            </c:extLst>
          </c:dPt>
          <c:dLbls>
            <c:dLbl>
              <c:idx val="0"/>
              <c:layout>
                <c:manualLayout>
                  <c:x val="0.10582010582010581"/>
                  <c:y val="-0.15834177511104189"/>
                </c:manualLayout>
              </c:layout>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81E3-4C1F-978F-D2D876C4BB02}"/>
                </c:ext>
              </c:extLst>
            </c:dLbl>
            <c:dLbl>
              <c:idx val="1"/>
              <c:layout>
                <c:manualLayout>
                  <c:x val="-9.5238095238095233E-2"/>
                  <c:y val="0.16823813605548196"/>
                </c:manualLayout>
              </c:layout>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81E3-4C1F-978F-D2D876C4BB0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'Pivort Data'!$D$63:$D$65</c:f>
              <c:strCache>
                <c:ptCount val="2"/>
                <c:pt idx="0">
                  <c:v>Female</c:v>
                </c:pt>
                <c:pt idx="1">
                  <c:v>Male</c:v>
                </c:pt>
              </c:strCache>
            </c:strRef>
          </c:cat>
          <c:val>
            <c:numRef>
              <c:f>'Pivort Data'!$E$63:$E$65</c:f>
              <c:numCache>
                <c:formatCode>0</c:formatCode>
                <c:ptCount val="2"/>
                <c:pt idx="0">
                  <c:v>239</c:v>
                </c:pt>
                <c:pt idx="1">
                  <c:v>246</c:v>
                </c:pt>
              </c:numCache>
            </c:numRef>
          </c:val>
          <c:extLst>
            <c:ext xmlns:c16="http://schemas.microsoft.com/office/drawing/2014/chart" uri="{C3380CC4-5D6E-409C-BE32-E72D297353CC}">
              <c16:uniqueId val="{00000004-81E3-4C1F-978F-D2D876C4BB02}"/>
            </c:ext>
          </c:extLst>
        </c:ser>
        <c:dLbls>
          <c:showLegendKey val="0"/>
          <c:showVal val="0"/>
          <c:showCatName val="0"/>
          <c:showSerName val="0"/>
          <c:showPercent val="0"/>
          <c:showBubbleSize val="0"/>
          <c:showLeaderLines val="0"/>
        </c:dLbls>
        <c:firstSliceAng val="0"/>
        <c:holeSize val="75"/>
      </c:doughnutChart>
      <c:spPr>
        <a:noFill/>
        <a:ln>
          <a:noFill/>
        </a:ln>
        <a:effectLst/>
      </c:spPr>
    </c:plotArea>
    <c:legend>
      <c:legendPos val="r"/>
      <c:layout>
        <c:manualLayout>
          <c:xMode val="edge"/>
          <c:yMode val="edge"/>
          <c:x val="1.5294730612568546E-2"/>
          <c:y val="2.3726305045202681E-2"/>
          <c:w val="0.96629530472223069"/>
          <c:h val="0.14028130600794825"/>
        </c:manualLayout>
      </c:layout>
      <c:overlay val="0"/>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5.xlsm]Pivort Data!PivotTable12</c:name>
    <c:fmtId val="24"/>
  </c:pivotSource>
  <c:chart>
    <c:autoTitleDeleted val="1"/>
    <c:pivotFmts>
      <c:pivotFmt>
        <c:idx val="0"/>
        <c:spPr>
          <a:solidFill>
            <a:sysClr val="window" lastClr="FFFF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ysClr val="window" lastClr="FFFF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ysClr val="window" lastClr="FFFF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81613163739148"/>
          <c:y val="8.227253587276908E-3"/>
          <c:w val="0.61325863113264689"/>
          <c:h val="0.92441559984554611"/>
        </c:manualLayout>
      </c:layout>
      <c:barChart>
        <c:barDir val="bar"/>
        <c:grouping val="clustered"/>
        <c:varyColors val="0"/>
        <c:ser>
          <c:idx val="0"/>
          <c:order val="0"/>
          <c:tx>
            <c:strRef>
              <c:f>'Pivort Data'!$B$69</c:f>
              <c:strCache>
                <c:ptCount val="1"/>
                <c:pt idx="0">
                  <c:v>Total</c:v>
                </c:pt>
              </c:strCache>
            </c:strRef>
          </c:tx>
          <c:spPr>
            <a:solidFill>
              <a:sysClr val="window" lastClr="FFFFF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'Pivort Data'!$A$70:$A$78</c:f>
              <c:strCache>
                <c:ptCount val="8"/>
                <c:pt idx="0">
                  <c:v>Renal</c:v>
                </c:pt>
                <c:pt idx="1">
                  <c:v>Physiotherapy</c:v>
                </c:pt>
                <c:pt idx="2">
                  <c:v>Neurology</c:v>
                </c:pt>
                <c:pt idx="3">
                  <c:v>Gastroenterology</c:v>
                </c:pt>
                <c:pt idx="4">
                  <c:v>Cardiology</c:v>
                </c:pt>
                <c:pt idx="5">
                  <c:v>Orthopedics</c:v>
                </c:pt>
                <c:pt idx="6">
                  <c:v>General Practice</c:v>
                </c:pt>
                <c:pt idx="7">
                  <c:v>None</c:v>
                </c:pt>
              </c:strCache>
            </c:strRef>
          </c:cat>
          <c:val>
            <c:numRef>
              <c:f>'Pivort Data'!$B$70:$B$78</c:f>
              <c:numCache>
                <c:formatCode>0</c:formatCode>
                <c:ptCount val="8"/>
                <c:pt idx="0">
                  <c:v>2</c:v>
                </c:pt>
                <c:pt idx="1">
                  <c:v>11</c:v>
                </c:pt>
                <c:pt idx="2">
                  <c:v>12</c:v>
                </c:pt>
                <c:pt idx="3">
                  <c:v>12</c:v>
                </c:pt>
                <c:pt idx="4">
                  <c:v>13</c:v>
                </c:pt>
                <c:pt idx="5">
                  <c:v>53</c:v>
                </c:pt>
                <c:pt idx="6">
                  <c:v>91</c:v>
                </c:pt>
                <c:pt idx="7">
                  <c:v>291</c:v>
                </c:pt>
              </c:numCache>
            </c:numRef>
          </c:val>
          <c:extLst>
            <c:ext xmlns:c16="http://schemas.microsoft.com/office/drawing/2014/chart" uri="{C3380CC4-5D6E-409C-BE32-E72D297353CC}">
              <c16:uniqueId val="{00000000-224B-4C98-B4D5-CA38F1FEA79A}"/>
            </c:ext>
          </c:extLst>
        </c:ser>
        <c:dLbls>
          <c:showLegendKey val="0"/>
          <c:showVal val="0"/>
          <c:showCatName val="0"/>
          <c:showSerName val="0"/>
          <c:showPercent val="0"/>
          <c:showBubbleSize val="0"/>
        </c:dLbls>
        <c:gapWidth val="84"/>
        <c:axId val="1918560608"/>
        <c:axId val="1918552448"/>
      </c:barChart>
      <c:catAx>
        <c:axId val="19185606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1918552448"/>
        <c:crosses val="autoZero"/>
        <c:auto val="1"/>
        <c:lblAlgn val="ctr"/>
        <c:lblOffset val="100"/>
        <c:noMultiLvlLbl val="0"/>
      </c:catAx>
      <c:valAx>
        <c:axId val="1918552448"/>
        <c:scaling>
          <c:orientation val="minMax"/>
        </c:scaling>
        <c:delete val="1"/>
        <c:axPos val="b"/>
        <c:numFmt formatCode="0" sourceLinked="1"/>
        <c:majorTickMark val="none"/>
        <c:minorTickMark val="none"/>
        <c:tickLblPos val="nextTo"/>
        <c:crossAx val="19185606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5.xlsm]Pivort Data!PivotTable4</c:name>
    <c:fmtId val="3"/>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'Pivort Data'!$D$3</c:f>
              <c:strCache>
                <c:ptCount val="1"/>
                <c:pt idx="0">
                  <c:v>Total</c:v>
                </c:pt>
              </c:strCache>
            </c:strRef>
          </c:tx>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'Pivort Data'!$C$4:$C$34</c:f>
              <c:strCache>
                <c:ptCount val="30"/>
                <c:pt idx="0">
                  <c:v>1-Jun</c:v>
                </c:pt>
                <c:pt idx="1">
                  <c:v>2-Jun</c:v>
                </c:pt>
                <c:pt idx="2">
                  <c:v>3-Jun</c:v>
                </c:pt>
                <c:pt idx="3">
                  <c:v>4-Jun</c:v>
                </c:pt>
                <c:pt idx="4">
                  <c:v>5-Jun</c:v>
                </c:pt>
                <c:pt idx="5">
                  <c:v>6-Jun</c:v>
                </c:pt>
                <c:pt idx="6">
                  <c:v>7-Jun</c:v>
                </c:pt>
                <c:pt idx="7">
                  <c:v>8-Jun</c:v>
                </c:pt>
                <c:pt idx="8">
                  <c:v>9-Jun</c:v>
                </c:pt>
                <c:pt idx="9">
                  <c:v>10-Jun</c:v>
                </c:pt>
                <c:pt idx="10">
                  <c:v>11-Jun</c:v>
                </c:pt>
                <c:pt idx="11">
                  <c:v>12-Jun</c:v>
                </c:pt>
                <c:pt idx="12">
                  <c:v>13-Jun</c:v>
                </c:pt>
                <c:pt idx="13">
                  <c:v>14-Jun</c:v>
                </c:pt>
                <c:pt idx="14">
                  <c:v>15-Jun</c:v>
                </c:pt>
                <c:pt idx="15">
                  <c:v>16-Jun</c:v>
                </c:pt>
                <c:pt idx="16">
                  <c:v>17-Jun</c:v>
                </c:pt>
                <c:pt idx="17">
                  <c:v>18-Jun</c:v>
                </c:pt>
                <c:pt idx="18">
                  <c:v>19-Jun</c:v>
                </c:pt>
                <c:pt idx="19">
                  <c:v>20-Jun</c:v>
                </c:pt>
                <c:pt idx="20">
                  <c:v>21-Jun</c:v>
                </c:pt>
                <c:pt idx="21">
                  <c:v>22-Jun</c:v>
                </c:pt>
                <c:pt idx="22">
                  <c:v>23-Jun</c:v>
                </c:pt>
                <c:pt idx="23">
                  <c:v>24-Jun</c:v>
                </c:pt>
                <c:pt idx="24">
                  <c:v>25-Jun</c:v>
                </c:pt>
                <c:pt idx="25">
                  <c:v>26-Jun</c:v>
                </c:pt>
                <c:pt idx="26">
                  <c:v>27-Jun</c:v>
                </c:pt>
                <c:pt idx="27">
                  <c:v>28-Jun</c:v>
                </c:pt>
                <c:pt idx="28">
                  <c:v>29-Jun</c:v>
                </c:pt>
                <c:pt idx="29">
                  <c:v>30-Jun</c:v>
                </c:pt>
              </c:strCache>
            </c:strRef>
          </c:cat>
          <c:val>
            <c:numRef>
              <c:f>'Pivort Data'!$D$4:$D$34</c:f>
              <c:numCache>
                <c:formatCode>General</c:formatCode>
                <c:ptCount val="30"/>
                <c:pt idx="0">
                  <c:v>17</c:v>
                </c:pt>
                <c:pt idx="1">
                  <c:v>10</c:v>
                </c:pt>
                <c:pt idx="2">
                  <c:v>23</c:v>
                </c:pt>
                <c:pt idx="3">
                  <c:v>15</c:v>
                </c:pt>
                <c:pt idx="4">
                  <c:v>14</c:v>
                </c:pt>
                <c:pt idx="5">
                  <c:v>11</c:v>
                </c:pt>
                <c:pt idx="6">
                  <c:v>15</c:v>
                </c:pt>
                <c:pt idx="7">
                  <c:v>20</c:v>
                </c:pt>
                <c:pt idx="8">
                  <c:v>21</c:v>
                </c:pt>
                <c:pt idx="9">
                  <c:v>17</c:v>
                </c:pt>
                <c:pt idx="10">
                  <c:v>17</c:v>
                </c:pt>
                <c:pt idx="11">
                  <c:v>17</c:v>
                </c:pt>
                <c:pt idx="12">
                  <c:v>17</c:v>
                </c:pt>
                <c:pt idx="13">
                  <c:v>11</c:v>
                </c:pt>
                <c:pt idx="14">
                  <c:v>23</c:v>
                </c:pt>
                <c:pt idx="15">
                  <c:v>14</c:v>
                </c:pt>
                <c:pt idx="16">
                  <c:v>22</c:v>
                </c:pt>
                <c:pt idx="17">
                  <c:v>16</c:v>
                </c:pt>
                <c:pt idx="18">
                  <c:v>13</c:v>
                </c:pt>
                <c:pt idx="19">
                  <c:v>14</c:v>
                </c:pt>
                <c:pt idx="20">
                  <c:v>12</c:v>
                </c:pt>
                <c:pt idx="21">
                  <c:v>12</c:v>
                </c:pt>
                <c:pt idx="22">
                  <c:v>20</c:v>
                </c:pt>
                <c:pt idx="23">
                  <c:v>19</c:v>
                </c:pt>
                <c:pt idx="24">
                  <c:v>13</c:v>
                </c:pt>
                <c:pt idx="25">
                  <c:v>15</c:v>
                </c:pt>
                <c:pt idx="26">
                  <c:v>19</c:v>
                </c:pt>
                <c:pt idx="27">
                  <c:v>17</c:v>
                </c:pt>
                <c:pt idx="28">
                  <c:v>15</c:v>
                </c:pt>
                <c:pt idx="29">
                  <c:v>16</c:v>
                </c:pt>
              </c:numCache>
            </c:numRef>
          </c:val>
          <c:extLst>
            <c:ext xmlns:c16="http://schemas.microsoft.com/office/drawing/2014/chart" uri="{C3380CC4-5D6E-409C-BE32-E72D297353CC}">
              <c16:uniqueId val="{00000000-287A-450A-85BB-3BE8A9A71F92}"/>
            </c:ext>
          </c:extLst>
        </c:ser>
        <c:dLbls>
          <c:showLegendKey val="0"/>
          <c:showVal val="1"/>
          <c:showCatName val="0"/>
          <c:showSerName val="0"/>
          <c:showPercent val="0"/>
          <c:showBubbleSize val="0"/>
        </c:dLbls>
        <c:dropLines>
          <c:spPr>
            <a:ln w="9525" cap="flat" cmpd="sng" algn="ctr">
              <a:gradFill>
                <a:gsLst>
                  <a:gs pos="0">
                    <a:schemeClr val="lt1"/>
                  </a:gs>
                  <a:gs pos="50000">
                    <a:schemeClr val="lt1">
                      <a:alpha val="0"/>
                    </a:schemeClr>
                  </a:gs>
                </a:gsLst>
                <a:lin ang="5400000" scaled="0"/>
              </a:gradFill>
              <a:round/>
            </a:ln>
            <a:effectLst/>
          </c:spPr>
        </c:dropLines>
        <c:axId val="1326723119"/>
        <c:axId val="1326709679"/>
      </c:areaChart>
      <c:catAx>
        <c:axId val="1326723119"/>
        <c:scaling>
          <c:orientation val="minMax"/>
        </c:scaling>
        <c:delete val="0"/>
        <c:axPos val="b"/>
        <c:numFmt formatCode="General" sourceLinked="1"/>
        <c:majorTickMark val="none"/>
        <c:minorTickMark val="none"/>
        <c:tickLblPos val="nextTo"/>
        <c:spPr>
          <a:noFill/>
          <a:ln w="9525" cap="flat" cmpd="sng" algn="ctr">
            <a:solidFill>
              <a:schemeClr val="accent1">
                <a:lumMod val="40000"/>
                <a:lumOff val="60000"/>
                <a:alpha val="2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326709679"/>
        <c:crosses val="autoZero"/>
        <c:auto val="1"/>
        <c:lblAlgn val="ctr"/>
        <c:lblOffset val="100"/>
        <c:noMultiLvlLbl val="0"/>
      </c:catAx>
      <c:valAx>
        <c:axId val="1326709679"/>
        <c:scaling>
          <c:orientation val="minMax"/>
        </c:scaling>
        <c:delete val="1"/>
        <c:axPos val="l"/>
        <c:numFmt formatCode="General" sourceLinked="1"/>
        <c:majorTickMark val="out"/>
        <c:minorTickMark val="none"/>
        <c:tickLblPos val="nextTo"/>
        <c:crossAx val="1326723119"/>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5.xlsm]Pivort Data!PivotTable5</c:name>
    <c:fmtId val="16"/>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0"/>
          <c:showSerName val="0"/>
          <c:showPercent val="0"/>
          <c:showBubbleSize val="0"/>
          <c:extLst>
            <c:ext xmlns:c15="http://schemas.microsoft.com/office/drawing/2012/chart" uri="{CE6537A1-D6FC-4f65-9D91-7224C49458BB}"/>
          </c:extLst>
        </c:dLbl>
      </c:pivotFmt>
      <c:pivotFmt>
        <c:idx val="4"/>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'Pivort Data'!$G$3</c:f>
              <c:strCache>
                <c:ptCount val="1"/>
                <c:pt idx="0">
                  <c:v>Total</c:v>
                </c:pt>
              </c:strCache>
            </c:strRef>
          </c:tx>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'Pivort Data'!$F$4:$F$34</c:f>
              <c:strCache>
                <c:ptCount val="30"/>
                <c:pt idx="0">
                  <c:v>1-Jun</c:v>
                </c:pt>
                <c:pt idx="1">
                  <c:v>2-Jun</c:v>
                </c:pt>
                <c:pt idx="2">
                  <c:v>3-Jun</c:v>
                </c:pt>
                <c:pt idx="3">
                  <c:v>4-Jun</c:v>
                </c:pt>
                <c:pt idx="4">
                  <c:v>5-Jun</c:v>
                </c:pt>
                <c:pt idx="5">
                  <c:v>6-Jun</c:v>
                </c:pt>
                <c:pt idx="6">
                  <c:v>7-Jun</c:v>
                </c:pt>
                <c:pt idx="7">
                  <c:v>8-Jun</c:v>
                </c:pt>
                <c:pt idx="8">
                  <c:v>9-Jun</c:v>
                </c:pt>
                <c:pt idx="9">
                  <c:v>10-Jun</c:v>
                </c:pt>
                <c:pt idx="10">
                  <c:v>11-Jun</c:v>
                </c:pt>
                <c:pt idx="11">
                  <c:v>12-Jun</c:v>
                </c:pt>
                <c:pt idx="12">
                  <c:v>13-Jun</c:v>
                </c:pt>
                <c:pt idx="13">
                  <c:v>14-Jun</c:v>
                </c:pt>
                <c:pt idx="14">
                  <c:v>15-Jun</c:v>
                </c:pt>
                <c:pt idx="15">
                  <c:v>16-Jun</c:v>
                </c:pt>
                <c:pt idx="16">
                  <c:v>17-Jun</c:v>
                </c:pt>
                <c:pt idx="17">
                  <c:v>18-Jun</c:v>
                </c:pt>
                <c:pt idx="18">
                  <c:v>19-Jun</c:v>
                </c:pt>
                <c:pt idx="19">
                  <c:v>20-Jun</c:v>
                </c:pt>
                <c:pt idx="20">
                  <c:v>21-Jun</c:v>
                </c:pt>
                <c:pt idx="21">
                  <c:v>22-Jun</c:v>
                </c:pt>
                <c:pt idx="22">
                  <c:v>23-Jun</c:v>
                </c:pt>
                <c:pt idx="23">
                  <c:v>24-Jun</c:v>
                </c:pt>
                <c:pt idx="24">
                  <c:v>25-Jun</c:v>
                </c:pt>
                <c:pt idx="25">
                  <c:v>26-Jun</c:v>
                </c:pt>
                <c:pt idx="26">
                  <c:v>27-Jun</c:v>
                </c:pt>
                <c:pt idx="27">
                  <c:v>28-Jun</c:v>
                </c:pt>
                <c:pt idx="28">
                  <c:v>29-Jun</c:v>
                </c:pt>
                <c:pt idx="29">
                  <c:v>30-Jun</c:v>
                </c:pt>
              </c:strCache>
            </c:strRef>
          </c:cat>
          <c:val>
            <c:numRef>
              <c:f>'Pivort Data'!$G$4:$G$34</c:f>
              <c:numCache>
                <c:formatCode>0.00</c:formatCode>
                <c:ptCount val="30"/>
                <c:pt idx="0">
                  <c:v>33.352941176470587</c:v>
                </c:pt>
                <c:pt idx="1">
                  <c:v>38.4</c:v>
                </c:pt>
                <c:pt idx="2">
                  <c:v>38.521739130434781</c:v>
                </c:pt>
                <c:pt idx="3">
                  <c:v>30.4</c:v>
                </c:pt>
                <c:pt idx="4">
                  <c:v>33.142857142857146</c:v>
                </c:pt>
                <c:pt idx="5">
                  <c:v>38.18181818181818</c:v>
                </c:pt>
                <c:pt idx="6">
                  <c:v>39.733333333333334</c:v>
                </c:pt>
                <c:pt idx="7">
                  <c:v>37</c:v>
                </c:pt>
                <c:pt idx="8">
                  <c:v>35.61904761904762</c:v>
                </c:pt>
                <c:pt idx="9">
                  <c:v>34.176470588235297</c:v>
                </c:pt>
                <c:pt idx="10">
                  <c:v>37.176470588235297</c:v>
                </c:pt>
                <c:pt idx="11">
                  <c:v>36.647058823529413</c:v>
                </c:pt>
                <c:pt idx="12">
                  <c:v>34.941176470588232</c:v>
                </c:pt>
                <c:pt idx="13">
                  <c:v>44</c:v>
                </c:pt>
                <c:pt idx="14">
                  <c:v>38.913043478260867</c:v>
                </c:pt>
                <c:pt idx="15">
                  <c:v>31</c:v>
                </c:pt>
                <c:pt idx="16">
                  <c:v>34.227272727272727</c:v>
                </c:pt>
                <c:pt idx="17">
                  <c:v>31</c:v>
                </c:pt>
                <c:pt idx="18">
                  <c:v>32.153846153846153</c:v>
                </c:pt>
                <c:pt idx="19">
                  <c:v>32.785714285714285</c:v>
                </c:pt>
                <c:pt idx="20">
                  <c:v>30</c:v>
                </c:pt>
                <c:pt idx="21">
                  <c:v>33.5</c:v>
                </c:pt>
                <c:pt idx="22">
                  <c:v>32.950000000000003</c:v>
                </c:pt>
                <c:pt idx="23">
                  <c:v>35.842105263157897</c:v>
                </c:pt>
                <c:pt idx="24">
                  <c:v>33.846153846153847</c:v>
                </c:pt>
                <c:pt idx="25">
                  <c:v>39.06666666666667</c:v>
                </c:pt>
                <c:pt idx="26">
                  <c:v>36.684210526315788</c:v>
                </c:pt>
                <c:pt idx="27">
                  <c:v>33.764705882352942</c:v>
                </c:pt>
                <c:pt idx="28">
                  <c:v>34.533333333333331</c:v>
                </c:pt>
                <c:pt idx="29">
                  <c:v>42.125</c:v>
                </c:pt>
              </c:numCache>
            </c:numRef>
          </c:val>
          <c:extLst>
            <c:ext xmlns:c16="http://schemas.microsoft.com/office/drawing/2014/chart" uri="{C3380CC4-5D6E-409C-BE32-E72D297353CC}">
              <c16:uniqueId val="{00000000-CC11-4CBD-8268-252B4766982A}"/>
            </c:ext>
          </c:extLst>
        </c:ser>
        <c:dLbls>
          <c:showLegendKey val="0"/>
          <c:showVal val="1"/>
          <c:showCatName val="0"/>
          <c:showSerName val="0"/>
          <c:showPercent val="0"/>
          <c:showBubbleSize val="0"/>
        </c:dLbls>
        <c:dropLines>
          <c:spPr>
            <a:ln w="9525" cap="flat" cmpd="sng" algn="ctr">
              <a:gradFill>
                <a:gsLst>
                  <a:gs pos="0">
                    <a:schemeClr val="lt1"/>
                  </a:gs>
                  <a:gs pos="50000">
                    <a:schemeClr val="lt1">
                      <a:alpha val="0"/>
                    </a:schemeClr>
                  </a:gs>
                </a:gsLst>
                <a:lin ang="5400000" scaled="0"/>
              </a:gradFill>
              <a:round/>
            </a:ln>
            <a:effectLst/>
          </c:spPr>
        </c:dropLines>
        <c:axId val="1326708719"/>
        <c:axId val="1326718319"/>
      </c:areaChart>
      <c:catAx>
        <c:axId val="1326708719"/>
        <c:scaling>
          <c:orientation val="minMax"/>
        </c:scaling>
        <c:delete val="0"/>
        <c:axPos val="b"/>
        <c:numFmt formatCode="General" sourceLinked="1"/>
        <c:majorTickMark val="none"/>
        <c:minorTickMark val="none"/>
        <c:tickLblPos val="nextTo"/>
        <c:spPr>
          <a:noFill/>
          <a:ln w="9525" cap="flat" cmpd="sng" algn="ctr">
            <a:solidFill>
              <a:schemeClr val="accent1">
                <a:lumMod val="40000"/>
                <a:lumOff val="60000"/>
                <a:alpha val="2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326718319"/>
        <c:crosses val="autoZero"/>
        <c:auto val="1"/>
        <c:lblAlgn val="ctr"/>
        <c:lblOffset val="100"/>
        <c:noMultiLvlLbl val="0"/>
      </c:catAx>
      <c:valAx>
        <c:axId val="1326718319"/>
        <c:scaling>
          <c:orientation val="minMax"/>
        </c:scaling>
        <c:delete val="1"/>
        <c:axPos val="l"/>
        <c:numFmt formatCode="0.00" sourceLinked="1"/>
        <c:majorTickMark val="out"/>
        <c:minorTickMark val="none"/>
        <c:tickLblPos val="nextTo"/>
        <c:crossAx val="1326708719"/>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5.xlsm]Pivort Data!PivotTable6</c:name>
    <c:fmtId val="14"/>
  </c:pivotSource>
  <c:chart>
    <c:autoTitleDeleted val="1"/>
    <c:pivotFmts>
      <c:pivotFmt>
        <c:idx val="0"/>
      </c:pivotFmt>
      <c:pivotFmt>
        <c:idx val="1"/>
      </c:pivotFmt>
      <c:pivotFmt>
        <c:idx val="2"/>
      </c:pivotFmt>
      <c:pivotFmt>
        <c:idx val="3"/>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'Pivort Data'!$J$3</c:f>
              <c:strCache>
                <c:ptCount val="1"/>
                <c:pt idx="0">
                  <c:v>Total</c:v>
                </c:pt>
              </c:strCache>
            </c:strRef>
          </c:tx>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dLbls>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'Pivort Data'!$I$4:$I$34</c:f>
              <c:strCache>
                <c:ptCount val="30"/>
                <c:pt idx="0">
                  <c:v>1-Jun</c:v>
                </c:pt>
                <c:pt idx="1">
                  <c:v>2-Jun</c:v>
                </c:pt>
                <c:pt idx="2">
                  <c:v>3-Jun</c:v>
                </c:pt>
                <c:pt idx="3">
                  <c:v>4-Jun</c:v>
                </c:pt>
                <c:pt idx="4">
                  <c:v>5-Jun</c:v>
                </c:pt>
                <c:pt idx="5">
                  <c:v>6-Jun</c:v>
                </c:pt>
                <c:pt idx="6">
                  <c:v>7-Jun</c:v>
                </c:pt>
                <c:pt idx="7">
                  <c:v>8-Jun</c:v>
                </c:pt>
                <c:pt idx="8">
                  <c:v>9-Jun</c:v>
                </c:pt>
                <c:pt idx="9">
                  <c:v>10-Jun</c:v>
                </c:pt>
                <c:pt idx="10">
                  <c:v>11-Jun</c:v>
                </c:pt>
                <c:pt idx="11">
                  <c:v>12-Jun</c:v>
                </c:pt>
                <c:pt idx="12">
                  <c:v>13-Jun</c:v>
                </c:pt>
                <c:pt idx="13">
                  <c:v>14-Jun</c:v>
                </c:pt>
                <c:pt idx="14">
                  <c:v>15-Jun</c:v>
                </c:pt>
                <c:pt idx="15">
                  <c:v>16-Jun</c:v>
                </c:pt>
                <c:pt idx="16">
                  <c:v>17-Jun</c:v>
                </c:pt>
                <c:pt idx="17">
                  <c:v>18-Jun</c:v>
                </c:pt>
                <c:pt idx="18">
                  <c:v>19-Jun</c:v>
                </c:pt>
                <c:pt idx="19">
                  <c:v>20-Jun</c:v>
                </c:pt>
                <c:pt idx="20">
                  <c:v>21-Jun</c:v>
                </c:pt>
                <c:pt idx="21">
                  <c:v>22-Jun</c:v>
                </c:pt>
                <c:pt idx="22">
                  <c:v>23-Jun</c:v>
                </c:pt>
                <c:pt idx="23">
                  <c:v>24-Jun</c:v>
                </c:pt>
                <c:pt idx="24">
                  <c:v>25-Jun</c:v>
                </c:pt>
                <c:pt idx="25">
                  <c:v>26-Jun</c:v>
                </c:pt>
                <c:pt idx="26">
                  <c:v>27-Jun</c:v>
                </c:pt>
                <c:pt idx="27">
                  <c:v>28-Jun</c:v>
                </c:pt>
                <c:pt idx="28">
                  <c:v>29-Jun</c:v>
                </c:pt>
                <c:pt idx="29">
                  <c:v>30-Jun</c:v>
                </c:pt>
              </c:strCache>
            </c:strRef>
          </c:cat>
          <c:val>
            <c:numRef>
              <c:f>'Pivort Data'!$J$4:$J$34</c:f>
              <c:numCache>
                <c:formatCode>0.00</c:formatCode>
                <c:ptCount val="30"/>
                <c:pt idx="0">
                  <c:v>4.75</c:v>
                </c:pt>
                <c:pt idx="1">
                  <c:v>5.2</c:v>
                </c:pt>
                <c:pt idx="2">
                  <c:v>3.375</c:v>
                </c:pt>
                <c:pt idx="3">
                  <c:v>5.8</c:v>
                </c:pt>
                <c:pt idx="4">
                  <c:v>4.375</c:v>
                </c:pt>
                <c:pt idx="5">
                  <c:v>3</c:v>
                </c:pt>
                <c:pt idx="6">
                  <c:v>5</c:v>
                </c:pt>
                <c:pt idx="7">
                  <c:v>3</c:v>
                </c:pt>
                <c:pt idx="8">
                  <c:v>4.9090909090909092</c:v>
                </c:pt>
                <c:pt idx="9">
                  <c:v>3.8333333333333335</c:v>
                </c:pt>
                <c:pt idx="10">
                  <c:v>3.875</c:v>
                </c:pt>
                <c:pt idx="11">
                  <c:v>4.333333333333333</c:v>
                </c:pt>
                <c:pt idx="12">
                  <c:v>3.5</c:v>
                </c:pt>
                <c:pt idx="13">
                  <c:v>5.4</c:v>
                </c:pt>
                <c:pt idx="14">
                  <c:v>5.375</c:v>
                </c:pt>
                <c:pt idx="15">
                  <c:v>3.3333333333333335</c:v>
                </c:pt>
                <c:pt idx="16">
                  <c:v>6.2</c:v>
                </c:pt>
                <c:pt idx="17">
                  <c:v>1.6666666666666667</c:v>
                </c:pt>
                <c:pt idx="18">
                  <c:v>4.5</c:v>
                </c:pt>
                <c:pt idx="19">
                  <c:v>7.666666666666667</c:v>
                </c:pt>
                <c:pt idx="20">
                  <c:v>4.4000000000000004</c:v>
                </c:pt>
                <c:pt idx="21">
                  <c:v>6.5</c:v>
                </c:pt>
                <c:pt idx="22">
                  <c:v>5</c:v>
                </c:pt>
                <c:pt idx="23">
                  <c:v>5.25</c:v>
                </c:pt>
                <c:pt idx="24">
                  <c:v>4.75</c:v>
                </c:pt>
                <c:pt idx="25">
                  <c:v>5</c:v>
                </c:pt>
                <c:pt idx="26">
                  <c:v>4</c:v>
                </c:pt>
                <c:pt idx="27">
                  <c:v>5.333333333333333</c:v>
                </c:pt>
                <c:pt idx="28">
                  <c:v>6</c:v>
                </c:pt>
                <c:pt idx="29">
                  <c:v>6.333333333333333</c:v>
                </c:pt>
              </c:numCache>
            </c:numRef>
          </c:val>
          <c:extLst>
            <c:ext xmlns:c16="http://schemas.microsoft.com/office/drawing/2014/chart" uri="{C3380CC4-5D6E-409C-BE32-E72D297353CC}">
              <c16:uniqueId val="{00000000-6394-4FA5-9355-0F92E5C6E6C3}"/>
            </c:ext>
          </c:extLst>
        </c:ser>
        <c:dLbls>
          <c:showLegendKey val="0"/>
          <c:showVal val="1"/>
          <c:showCatName val="0"/>
          <c:showSerName val="0"/>
          <c:showPercent val="0"/>
          <c:showBubbleSize val="0"/>
        </c:dLbls>
        <c:dropLines>
          <c:spPr>
            <a:ln w="9525" cap="flat" cmpd="sng" algn="ctr">
              <a:gradFill>
                <a:gsLst>
                  <a:gs pos="0">
                    <a:schemeClr val="lt1"/>
                  </a:gs>
                  <a:gs pos="50000">
                    <a:schemeClr val="lt1">
                      <a:alpha val="0"/>
                    </a:schemeClr>
                  </a:gs>
                </a:gsLst>
                <a:lin ang="5400000" scaled="0"/>
              </a:gradFill>
              <a:round/>
            </a:ln>
            <a:effectLst/>
          </c:spPr>
        </c:dropLines>
        <c:axId val="1326738479"/>
        <c:axId val="1326751919"/>
      </c:areaChart>
      <c:catAx>
        <c:axId val="1326738479"/>
        <c:scaling>
          <c:orientation val="minMax"/>
        </c:scaling>
        <c:delete val="0"/>
        <c:axPos val="b"/>
        <c:numFmt formatCode="General" sourceLinked="1"/>
        <c:majorTickMark val="none"/>
        <c:minorTickMark val="none"/>
        <c:tickLblPos val="nextTo"/>
        <c:spPr>
          <a:noFill/>
          <a:ln w="9525" cap="flat" cmpd="sng" algn="ctr">
            <a:solidFill>
              <a:schemeClr val="accent1">
                <a:lumMod val="40000"/>
                <a:lumOff val="60000"/>
                <a:alpha val="2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326751919"/>
        <c:crosses val="autoZero"/>
        <c:auto val="1"/>
        <c:lblAlgn val="ctr"/>
        <c:lblOffset val="100"/>
        <c:noMultiLvlLbl val="0"/>
      </c:catAx>
      <c:valAx>
        <c:axId val="1326751919"/>
        <c:scaling>
          <c:orientation val="minMax"/>
        </c:scaling>
        <c:delete val="1"/>
        <c:axPos val="l"/>
        <c:numFmt formatCode="0.00" sourceLinked="1"/>
        <c:majorTickMark val="out"/>
        <c:minorTickMark val="none"/>
        <c:tickLblPos val="nextTo"/>
        <c:crossAx val="1326738479"/>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solidFill>
            <a:schemeClr val="bg1"/>
          </a:solidFill>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46">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85">
  <cs:axisTitle>
    <cs:lnRef idx="0"/>
    <cs:fillRef idx="0"/>
    <cs:effectRef idx="0"/>
    <cs:fontRef idx="minor">
      <a:schemeClr val="lt1"/>
    </cs:fontRef>
    <cs:defRPr sz="900" kern="1200"/>
  </cs:axisTitle>
  <cs:category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categoryAxis>
  <cs:chartArea>
    <cs:lnRef idx="0">
      <cs:styleClr val="0"/>
    </cs:lnRef>
    <cs:fillRef idx="0">
      <cs:styleClr val="0"/>
    </cs:fillRef>
    <cs:effectRef idx="0"/>
    <cs:fontRef idx="minor">
      <a:schemeClr val="lt1"/>
    </cs:fontRef>
    <cs:spPr>
      <a:solidFill>
        <a:schemeClr val="phClr"/>
      </a:solidFill>
      <a:ln w="9525" cap="flat" cmpd="sng" algn="ctr">
        <a:solidFill>
          <a:schemeClr val="phClr"/>
        </a:solidFill>
        <a:round/>
      </a:ln>
    </cs:spPr>
    <cs:defRPr sz="9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tx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
  <cs:dataPoint3D>
    <cs:lnRef idx="0">
      <cs:styleClr val="auto"/>
    </cs:lnRef>
    <cs:fillRef idx="0"/>
    <cs:effectRef idx="0"/>
    <cs:fontRef idx="minor">
      <a:schemeClr val="lt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3D>
  <cs:dataPointLine>
    <cs:lnRef idx="0">
      <cs:styleClr val="auto"/>
    </cs:lnRef>
    <cs:fillRef idx="0"/>
    <cs:effectRef idx="0">
      <cs:styleClr val="auto"/>
    </cs:effectRef>
    <cs:fontRef idx="minor">
      <a:schemeClr val="lt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lt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lt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40000"/>
            <a:lumOff val="60000"/>
            <a:alpha val="25000"/>
          </a:schemeClr>
        </a:solidFill>
      </a:ln>
    </cs:spPr>
    <cs:defRPr sz="900" kern="1200"/>
  </cs:dataTable>
  <cs:downBar>
    <cs:lnRef idx="0">
      <cs:styleClr val="0"/>
    </cs:lnRef>
    <cs:fillRef idx="0"/>
    <cs:effectRef idx="0"/>
    <cs:fontRef idx="minor">
      <a:schemeClr val="lt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lt1"/>
    </cs:fontRef>
    <cs:spPr>
      <a:ln w="9525" cap="flat" cmpd="sng" algn="ctr">
        <a:gradFill>
          <a:gsLst>
            <a:gs pos="0">
              <a:schemeClr val="lt1"/>
            </a:gs>
            <a:gs pos="50000">
              <a:schemeClr val="lt1">
                <a:alpha val="0"/>
              </a:schemeClr>
            </a:gs>
          </a:gsLst>
          <a:lin ang="5400000" scaled="0"/>
        </a:gradFill>
        <a:round/>
      </a:ln>
    </cs:spPr>
  </cs:dropLine>
  <cs:errorBar>
    <cs:lnRef idx="0">
      <cs:styleClr val="0"/>
    </cs:lnRef>
    <cs:fillRef idx="0"/>
    <cs:effectRef idx="0"/>
    <cs:fontRef idx="minor">
      <a:schemeClr val="lt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lt1"/>
    </cs:fontRef>
  </cs:floor>
  <cs:gridlineMajor>
    <cs:lnRef idx="0">
      <cs:styleClr val="0"/>
    </cs:lnRef>
    <cs:fillRef idx="0"/>
    <cs:effectRef idx="0"/>
    <cs:fontRef idx="minor">
      <a:schemeClr val="lt1"/>
    </cs:fontRef>
    <cs:spPr>
      <a:ln>
        <a:solidFill>
          <a:schemeClr val="phClr">
            <a:lumMod val="40000"/>
            <a:lumOff val="60000"/>
            <a:alpha val="25000"/>
          </a:schemeClr>
        </a:solidFill>
      </a:ln>
    </cs:spPr>
  </cs:gridlineMajor>
  <cs:gridlineMinor>
    <cs:lnRef idx="0">
      <cs:styleClr val="0"/>
    </cs:lnRef>
    <cs:fillRef idx="0"/>
    <cs:effectRef idx="0"/>
    <cs:fontRef idx="minor">
      <a:schemeClr val="lt1"/>
    </cs:fontRef>
    <cs:spPr>
      <a:ln>
        <a:solidFill>
          <a:schemeClr val="phClr">
            <a:lumMod val="40000"/>
            <a:lumOff val="60000"/>
            <a:alpha val="25000"/>
          </a:schemeClr>
        </a:solidFill>
      </a:ln>
    </cs:spPr>
  </cs:gridlineMinor>
  <cs:hiLoLine>
    <cs:lnRef idx="0">
      <cs:styleClr val="0"/>
    </cs:lnRef>
    <cs:fillRef idx="0"/>
    <cs:effectRef idx="0"/>
    <cs:fontRef idx="minor">
      <a:schemeClr val="lt1"/>
    </cs:fontRef>
    <cs:spPr>
      <a:ln w="9525">
        <a:solidFill>
          <a:schemeClr val="phClr">
            <a:lumMod val="60000"/>
            <a:lumOff val="40000"/>
          </a:schemeClr>
        </a:solidFill>
      </a:ln>
    </cs:spPr>
  </cs:hiLoLine>
  <cs:leaderLine>
    <cs:lnRef idx="0">
      <cs:styleClr val="0"/>
    </cs:lnRef>
    <cs:fillRef idx="0"/>
    <cs:effectRef idx="0"/>
    <cs:fontRef idx="minor">
      <a:schemeClr val="lt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seriesAxis>
  <cs:seriesLine>
    <cs:lnRef idx="0">
      <cs:styleClr val="0"/>
    </cs:lnRef>
    <cs:fillRef idx="0"/>
    <cs:effectRef idx="0"/>
    <cs:fontRef idx="minor">
      <a:schemeClr val="lt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lt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lt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bodyPr/>
  </cs:valueAxis>
  <cs:wall>
    <cs:lnRef idx="0"/>
    <cs:fillRef idx="0"/>
    <cs:effectRef idx="0"/>
    <cs:fontRef idx="minor">
      <a:schemeClr val="lt1"/>
    </cs:fontRef>
  </cs:wall>
</cs:chartStyle>
</file>

<file path=xl/charts/style9.xml><?xml version="1.0" encoding="utf-8"?>
<cs:chartStyle xmlns:cs="http://schemas.microsoft.com/office/drawing/2012/chartStyle" xmlns:a="http://schemas.openxmlformats.org/drawingml/2006/main" id="285">
  <cs:axisTitle>
    <cs:lnRef idx="0"/>
    <cs:fillRef idx="0"/>
    <cs:effectRef idx="0"/>
    <cs:fontRef idx="minor">
      <a:schemeClr val="lt1"/>
    </cs:fontRef>
    <cs:defRPr sz="900" kern="1200"/>
  </cs:axisTitle>
  <cs:category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categoryAxis>
  <cs:chartArea>
    <cs:lnRef idx="0">
      <cs:styleClr val="0"/>
    </cs:lnRef>
    <cs:fillRef idx="0">
      <cs:styleClr val="0"/>
    </cs:fillRef>
    <cs:effectRef idx="0"/>
    <cs:fontRef idx="minor">
      <a:schemeClr val="lt1"/>
    </cs:fontRef>
    <cs:spPr>
      <a:solidFill>
        <a:schemeClr val="phClr"/>
      </a:solidFill>
      <a:ln w="9525" cap="flat" cmpd="sng" algn="ctr">
        <a:solidFill>
          <a:schemeClr val="phClr"/>
        </a:solidFill>
        <a:round/>
      </a:ln>
    </cs:spPr>
    <cs:defRPr sz="9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tx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
  <cs:dataPoint3D>
    <cs:lnRef idx="0">
      <cs:styleClr val="auto"/>
    </cs:lnRef>
    <cs:fillRef idx="0"/>
    <cs:effectRef idx="0"/>
    <cs:fontRef idx="minor">
      <a:schemeClr val="lt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3D>
  <cs:dataPointLine>
    <cs:lnRef idx="0">
      <cs:styleClr val="auto"/>
    </cs:lnRef>
    <cs:fillRef idx="0"/>
    <cs:effectRef idx="0">
      <cs:styleClr val="auto"/>
    </cs:effectRef>
    <cs:fontRef idx="minor">
      <a:schemeClr val="lt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lt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lt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40000"/>
            <a:lumOff val="60000"/>
            <a:alpha val="25000"/>
          </a:schemeClr>
        </a:solidFill>
      </a:ln>
    </cs:spPr>
    <cs:defRPr sz="900" kern="1200"/>
  </cs:dataTable>
  <cs:downBar>
    <cs:lnRef idx="0">
      <cs:styleClr val="0"/>
    </cs:lnRef>
    <cs:fillRef idx="0"/>
    <cs:effectRef idx="0"/>
    <cs:fontRef idx="minor">
      <a:schemeClr val="lt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lt1"/>
    </cs:fontRef>
    <cs:spPr>
      <a:ln w="9525" cap="flat" cmpd="sng" algn="ctr">
        <a:gradFill>
          <a:gsLst>
            <a:gs pos="0">
              <a:schemeClr val="lt1"/>
            </a:gs>
            <a:gs pos="50000">
              <a:schemeClr val="lt1">
                <a:alpha val="0"/>
              </a:schemeClr>
            </a:gs>
          </a:gsLst>
          <a:lin ang="5400000" scaled="0"/>
        </a:gradFill>
        <a:round/>
      </a:ln>
    </cs:spPr>
  </cs:dropLine>
  <cs:errorBar>
    <cs:lnRef idx="0">
      <cs:styleClr val="0"/>
    </cs:lnRef>
    <cs:fillRef idx="0"/>
    <cs:effectRef idx="0"/>
    <cs:fontRef idx="minor">
      <a:schemeClr val="lt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lt1"/>
    </cs:fontRef>
  </cs:floor>
  <cs:gridlineMajor>
    <cs:lnRef idx="0">
      <cs:styleClr val="0"/>
    </cs:lnRef>
    <cs:fillRef idx="0"/>
    <cs:effectRef idx="0"/>
    <cs:fontRef idx="minor">
      <a:schemeClr val="lt1"/>
    </cs:fontRef>
    <cs:spPr>
      <a:ln>
        <a:solidFill>
          <a:schemeClr val="phClr">
            <a:lumMod val="40000"/>
            <a:lumOff val="60000"/>
            <a:alpha val="25000"/>
          </a:schemeClr>
        </a:solidFill>
      </a:ln>
    </cs:spPr>
  </cs:gridlineMajor>
  <cs:gridlineMinor>
    <cs:lnRef idx="0">
      <cs:styleClr val="0"/>
    </cs:lnRef>
    <cs:fillRef idx="0"/>
    <cs:effectRef idx="0"/>
    <cs:fontRef idx="minor">
      <a:schemeClr val="lt1"/>
    </cs:fontRef>
    <cs:spPr>
      <a:ln>
        <a:solidFill>
          <a:schemeClr val="phClr">
            <a:lumMod val="40000"/>
            <a:lumOff val="60000"/>
            <a:alpha val="25000"/>
          </a:schemeClr>
        </a:solidFill>
      </a:ln>
    </cs:spPr>
  </cs:gridlineMinor>
  <cs:hiLoLine>
    <cs:lnRef idx="0">
      <cs:styleClr val="0"/>
    </cs:lnRef>
    <cs:fillRef idx="0"/>
    <cs:effectRef idx="0"/>
    <cs:fontRef idx="minor">
      <a:schemeClr val="lt1"/>
    </cs:fontRef>
    <cs:spPr>
      <a:ln w="9525">
        <a:solidFill>
          <a:schemeClr val="phClr">
            <a:lumMod val="60000"/>
            <a:lumOff val="40000"/>
          </a:schemeClr>
        </a:solidFill>
      </a:ln>
    </cs:spPr>
  </cs:hiLoLine>
  <cs:leaderLine>
    <cs:lnRef idx="0">
      <cs:styleClr val="0"/>
    </cs:lnRef>
    <cs:fillRef idx="0"/>
    <cs:effectRef idx="0"/>
    <cs:fontRef idx="minor">
      <a:schemeClr val="lt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seriesAxis>
  <cs:seriesLine>
    <cs:lnRef idx="0">
      <cs:styleClr val="0"/>
    </cs:lnRef>
    <cs:fillRef idx="0"/>
    <cs:effectRef idx="0"/>
    <cs:fontRef idx="minor">
      <a:schemeClr val="lt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lt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lt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bodyPr/>
  </cs:valueAxis>
  <cs:wall>
    <cs:lnRef idx="0"/>
    <cs:fillRef idx="0"/>
    <cs:effectRef idx="0"/>
    <cs:fontRef idx="minor">
      <a:schemeClr val="lt1"/>
    </cs:fontRef>
  </cs:wall>
</cs:chartStyle>
</file>

<file path=xl/charts/style10.xml><?xml version="1.0" encoding="utf-8"?>
<cs:chartStyle xmlns:cs="http://schemas.microsoft.com/office/drawing/2012/chartStyle" xmlns:a="http://schemas.openxmlformats.org/drawingml/2006/main" id="285">
  <cs:axisTitle>
    <cs:lnRef idx="0"/>
    <cs:fillRef idx="0"/>
    <cs:effectRef idx="0"/>
    <cs:fontRef idx="minor">
      <a:schemeClr val="lt1"/>
    </cs:fontRef>
    <cs:defRPr sz="900" kern="1200"/>
  </cs:axisTitle>
  <cs:category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categoryAxis>
  <cs:chartArea>
    <cs:lnRef idx="0">
      <cs:styleClr val="0"/>
    </cs:lnRef>
    <cs:fillRef idx="0">
      <cs:styleClr val="0"/>
    </cs:fillRef>
    <cs:effectRef idx="0"/>
    <cs:fontRef idx="minor">
      <a:schemeClr val="lt1"/>
    </cs:fontRef>
    <cs:spPr>
      <a:solidFill>
        <a:schemeClr val="phClr"/>
      </a:solidFill>
      <a:ln w="9525" cap="flat" cmpd="sng" algn="ctr">
        <a:solidFill>
          <a:schemeClr val="phClr"/>
        </a:solidFill>
        <a:round/>
      </a:ln>
    </cs:spPr>
    <cs:defRPr sz="9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tx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
  <cs:dataPoint3D>
    <cs:lnRef idx="0">
      <cs:styleClr val="auto"/>
    </cs:lnRef>
    <cs:fillRef idx="0"/>
    <cs:effectRef idx="0"/>
    <cs:fontRef idx="minor">
      <a:schemeClr val="lt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3D>
  <cs:dataPointLine>
    <cs:lnRef idx="0">
      <cs:styleClr val="auto"/>
    </cs:lnRef>
    <cs:fillRef idx="0"/>
    <cs:effectRef idx="0">
      <cs:styleClr val="auto"/>
    </cs:effectRef>
    <cs:fontRef idx="minor">
      <a:schemeClr val="lt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lt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lt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40000"/>
            <a:lumOff val="60000"/>
            <a:alpha val="25000"/>
          </a:schemeClr>
        </a:solidFill>
      </a:ln>
    </cs:spPr>
    <cs:defRPr sz="900" kern="1200"/>
  </cs:dataTable>
  <cs:downBar>
    <cs:lnRef idx="0">
      <cs:styleClr val="0"/>
    </cs:lnRef>
    <cs:fillRef idx="0"/>
    <cs:effectRef idx="0"/>
    <cs:fontRef idx="minor">
      <a:schemeClr val="lt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lt1"/>
    </cs:fontRef>
    <cs:spPr>
      <a:ln w="9525" cap="flat" cmpd="sng" algn="ctr">
        <a:gradFill>
          <a:gsLst>
            <a:gs pos="0">
              <a:schemeClr val="lt1"/>
            </a:gs>
            <a:gs pos="50000">
              <a:schemeClr val="lt1">
                <a:alpha val="0"/>
              </a:schemeClr>
            </a:gs>
          </a:gsLst>
          <a:lin ang="5400000" scaled="0"/>
        </a:gradFill>
        <a:round/>
      </a:ln>
    </cs:spPr>
  </cs:dropLine>
  <cs:errorBar>
    <cs:lnRef idx="0">
      <cs:styleClr val="0"/>
    </cs:lnRef>
    <cs:fillRef idx="0"/>
    <cs:effectRef idx="0"/>
    <cs:fontRef idx="minor">
      <a:schemeClr val="lt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lt1"/>
    </cs:fontRef>
  </cs:floor>
  <cs:gridlineMajor>
    <cs:lnRef idx="0">
      <cs:styleClr val="0"/>
    </cs:lnRef>
    <cs:fillRef idx="0"/>
    <cs:effectRef idx="0"/>
    <cs:fontRef idx="minor">
      <a:schemeClr val="lt1"/>
    </cs:fontRef>
    <cs:spPr>
      <a:ln>
        <a:solidFill>
          <a:schemeClr val="phClr">
            <a:lumMod val="40000"/>
            <a:lumOff val="60000"/>
            <a:alpha val="25000"/>
          </a:schemeClr>
        </a:solidFill>
      </a:ln>
    </cs:spPr>
  </cs:gridlineMajor>
  <cs:gridlineMinor>
    <cs:lnRef idx="0">
      <cs:styleClr val="0"/>
    </cs:lnRef>
    <cs:fillRef idx="0"/>
    <cs:effectRef idx="0"/>
    <cs:fontRef idx="minor">
      <a:schemeClr val="lt1"/>
    </cs:fontRef>
    <cs:spPr>
      <a:ln>
        <a:solidFill>
          <a:schemeClr val="phClr">
            <a:lumMod val="40000"/>
            <a:lumOff val="60000"/>
            <a:alpha val="25000"/>
          </a:schemeClr>
        </a:solidFill>
      </a:ln>
    </cs:spPr>
  </cs:gridlineMinor>
  <cs:hiLoLine>
    <cs:lnRef idx="0">
      <cs:styleClr val="0"/>
    </cs:lnRef>
    <cs:fillRef idx="0"/>
    <cs:effectRef idx="0"/>
    <cs:fontRef idx="minor">
      <a:schemeClr val="lt1"/>
    </cs:fontRef>
    <cs:spPr>
      <a:ln w="9525">
        <a:solidFill>
          <a:schemeClr val="phClr">
            <a:lumMod val="60000"/>
            <a:lumOff val="40000"/>
          </a:schemeClr>
        </a:solidFill>
      </a:ln>
    </cs:spPr>
  </cs:hiLoLine>
  <cs:leaderLine>
    <cs:lnRef idx="0">
      <cs:styleClr val="0"/>
    </cs:lnRef>
    <cs:fillRef idx="0"/>
    <cs:effectRef idx="0"/>
    <cs:fontRef idx="minor">
      <a:schemeClr val="lt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seriesAxis>
  <cs:seriesLine>
    <cs:lnRef idx="0">
      <cs:styleClr val="0"/>
    </cs:lnRef>
    <cs:fillRef idx="0"/>
    <cs:effectRef idx="0"/>
    <cs:fontRef idx="minor">
      <a:schemeClr val="lt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lt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lt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bodyPr/>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image" Target="../media/image2.emf"/><Relationship Id="rId13" Type="http://schemas.openxmlformats.org/officeDocument/2006/relationships/image" Target="../media/image3.png"/><Relationship Id="rId18" Type="http://schemas.openxmlformats.org/officeDocument/2006/relationships/image" Target="../media/image8.svg"/><Relationship Id="rId3" Type="http://schemas.openxmlformats.org/officeDocument/2006/relationships/chart" Target="../charts/chart2.xml"/><Relationship Id="rId7" Type="http://schemas.openxmlformats.org/officeDocument/2006/relationships/chart" Target="../charts/chart4.xml"/><Relationship Id="rId12" Type="http://schemas.openxmlformats.org/officeDocument/2006/relationships/chart" Target="../charts/chart8.xml"/><Relationship Id="rId17" Type="http://schemas.openxmlformats.org/officeDocument/2006/relationships/image" Target="../media/image7.png"/><Relationship Id="rId2" Type="http://schemas.openxmlformats.org/officeDocument/2006/relationships/hyperlink" Target="#'No of Patient Chart'!A1"/><Relationship Id="rId16" Type="http://schemas.openxmlformats.org/officeDocument/2006/relationships/image" Target="../media/image6.svg"/><Relationship Id="rId1" Type="http://schemas.openxmlformats.org/officeDocument/2006/relationships/image" Target="../media/image1.png"/><Relationship Id="rId6" Type="http://schemas.openxmlformats.org/officeDocument/2006/relationships/hyperlink" Target="#'Patient Satisifaction level'!A1"/><Relationship Id="rId11" Type="http://schemas.openxmlformats.org/officeDocument/2006/relationships/chart" Target="../charts/chart7.xml"/><Relationship Id="rId5" Type="http://schemas.openxmlformats.org/officeDocument/2006/relationships/chart" Target="../charts/chart3.xml"/><Relationship Id="rId15" Type="http://schemas.openxmlformats.org/officeDocument/2006/relationships/image" Target="../media/image5.png"/><Relationship Id="rId10" Type="http://schemas.openxmlformats.org/officeDocument/2006/relationships/chart" Target="../charts/chart6.xml"/><Relationship Id="rId4" Type="http://schemas.openxmlformats.org/officeDocument/2006/relationships/hyperlink" Target="#'Average Wait time Chart'!A1"/><Relationship Id="rId9" Type="http://schemas.openxmlformats.org/officeDocument/2006/relationships/chart" Target="../charts/chart5.xml"/><Relationship Id="rId14" Type="http://schemas.openxmlformats.org/officeDocument/2006/relationships/image" Target="../media/image4.svg"/></Relationships>
</file>

<file path=xl/drawings/_rels/drawing3.xml.rels><?xml version="1.0" encoding="UTF-8" standalone="yes"?>
<Relationships xmlns="http://schemas.openxmlformats.org/package/2006/relationships"><Relationship Id="rId3" Type="http://schemas.openxmlformats.org/officeDocument/2006/relationships/hyperlink" Target="#Dashboard!A1"/><Relationship Id="rId2" Type="http://schemas.openxmlformats.org/officeDocument/2006/relationships/chart" Target="../charts/chart9.xml"/><Relationship Id="rId1" Type="http://schemas.openxmlformats.org/officeDocument/2006/relationships/hyperlink" Target="#Sheet2!A1"/><Relationship Id="rId5" Type="http://schemas.openxmlformats.org/officeDocument/2006/relationships/image" Target="../media/image11.svg"/><Relationship Id="rId4" Type="http://schemas.openxmlformats.org/officeDocument/2006/relationships/image" Target="../media/image10.png"/></Relationships>
</file>

<file path=xl/drawings/_rels/drawing4.xml.rels><?xml version="1.0" encoding="UTF-8" standalone="yes"?>
<Relationships xmlns="http://schemas.openxmlformats.org/package/2006/relationships"><Relationship Id="rId3" Type="http://schemas.openxmlformats.org/officeDocument/2006/relationships/hyperlink" Target="#Dashboard!A1"/><Relationship Id="rId2" Type="http://schemas.openxmlformats.org/officeDocument/2006/relationships/chart" Target="../charts/chart10.xml"/><Relationship Id="rId1" Type="http://schemas.openxmlformats.org/officeDocument/2006/relationships/hyperlink" Target="#'Average Wait time Chart'!A1"/><Relationship Id="rId5" Type="http://schemas.openxmlformats.org/officeDocument/2006/relationships/image" Target="../media/image11.svg"/><Relationship Id="rId4" Type="http://schemas.openxmlformats.org/officeDocument/2006/relationships/image" Target="../media/image10.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6.xml.rels><?xml version="1.0" encoding="UTF-8" standalone="yes"?>
<Relationships xmlns="http://schemas.openxmlformats.org/package/2006/relationships"><Relationship Id="rId3" Type="http://schemas.openxmlformats.org/officeDocument/2006/relationships/image" Target="../media/image11.svg"/><Relationship Id="rId2" Type="http://schemas.openxmlformats.org/officeDocument/2006/relationships/image" Target="../media/image10.png"/><Relationship Id="rId1" Type="http://schemas.openxmlformats.org/officeDocument/2006/relationships/hyperlink" Target="#Dashboard!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xdr:from>
      <xdr:col>3</xdr:col>
      <xdr:colOff>142874</xdr:colOff>
      <xdr:row>43</xdr:row>
      <xdr:rowOff>19050</xdr:rowOff>
    </xdr:from>
    <xdr:to>
      <xdr:col>3</xdr:col>
      <xdr:colOff>2114549</xdr:colOff>
      <xdr:row>46</xdr:row>
      <xdr:rowOff>104775</xdr:rowOff>
    </xdr:to>
    <xdr:graphicFrame macro="">
      <xdr:nvGraphicFramePr>
        <xdr:cNvPr id="2" name="Chart 1">
          <a:extLst>
            <a:ext uri="{FF2B5EF4-FFF2-40B4-BE49-F238E27FC236}">
              <a16:creationId xmlns:a16="http://schemas.microsoft.com/office/drawing/2014/main" id="{AF64C1C7-CBCF-36BE-325F-2CB7A3A59FD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38101</xdr:colOff>
      <xdr:row>0</xdr:row>
      <xdr:rowOff>38100</xdr:rowOff>
    </xdr:from>
    <xdr:to>
      <xdr:col>5</xdr:col>
      <xdr:colOff>260350</xdr:colOff>
      <xdr:row>3</xdr:row>
      <xdr:rowOff>6349</xdr:rowOff>
    </xdr:to>
    <xdr:sp macro="" textlink="">
      <xdr:nvSpPr>
        <xdr:cNvPr id="2" name="Rectangle: Rounded Corners 1">
          <a:extLst>
            <a:ext uri="{FF2B5EF4-FFF2-40B4-BE49-F238E27FC236}">
              <a16:creationId xmlns:a16="http://schemas.microsoft.com/office/drawing/2014/main" id="{D99F9017-0997-2234-E648-9339D3FCCDFA}"/>
            </a:ext>
          </a:extLst>
        </xdr:cNvPr>
        <xdr:cNvSpPr/>
      </xdr:nvSpPr>
      <xdr:spPr>
        <a:xfrm>
          <a:off x="38101" y="38100"/>
          <a:ext cx="3270249" cy="539749"/>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200"/>
            <a:t>              Hospital Emergency Room Dashboard</a:t>
          </a:r>
        </a:p>
        <a:p>
          <a:pPr algn="l"/>
          <a:r>
            <a:rPr lang="en-IN" sz="1100"/>
            <a:t>                                               Monthly Report             </a:t>
          </a:r>
        </a:p>
      </xdr:txBody>
    </xdr:sp>
    <xdr:clientData/>
  </xdr:twoCellAnchor>
  <xdr:twoCellAnchor editAs="absolute">
    <xdr:from>
      <xdr:col>5</xdr:col>
      <xdr:colOff>304800</xdr:colOff>
      <xdr:row>0</xdr:row>
      <xdr:rowOff>43851</xdr:rowOff>
    </xdr:from>
    <xdr:to>
      <xdr:col>7</xdr:col>
      <xdr:colOff>249519</xdr:colOff>
      <xdr:row>3</xdr:row>
      <xdr:rowOff>0</xdr:rowOff>
    </xdr:to>
    <xdr:sp macro="" textlink="">
      <xdr:nvSpPr>
        <xdr:cNvPr id="3" name="Rectangle: Rounded Corners 2">
          <a:extLst>
            <a:ext uri="{FF2B5EF4-FFF2-40B4-BE49-F238E27FC236}">
              <a16:creationId xmlns:a16="http://schemas.microsoft.com/office/drawing/2014/main" id="{0AA821A3-7558-668A-CB3A-E07DE25554F2}"/>
            </a:ext>
          </a:extLst>
        </xdr:cNvPr>
        <xdr:cNvSpPr/>
      </xdr:nvSpPr>
      <xdr:spPr>
        <a:xfrm>
          <a:off x="3352800" y="43851"/>
          <a:ext cx="1163919" cy="527649"/>
        </a:xfrm>
        <a:prstGeom prst="roundRect">
          <a:avLst>
            <a:gd name="adj" fmla="val 6658"/>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9</xdr:col>
      <xdr:colOff>393700</xdr:colOff>
      <xdr:row>0</xdr:row>
      <xdr:rowOff>43850</xdr:rowOff>
    </xdr:from>
    <xdr:to>
      <xdr:col>11</xdr:col>
      <xdr:colOff>387350</xdr:colOff>
      <xdr:row>7</xdr:row>
      <xdr:rowOff>0</xdr:rowOff>
    </xdr:to>
    <xdr:sp macro="" textlink="">
      <xdr:nvSpPr>
        <xdr:cNvPr id="6" name="Rectangle: Rounded Corners 5">
          <a:extLst>
            <a:ext uri="{FF2B5EF4-FFF2-40B4-BE49-F238E27FC236}">
              <a16:creationId xmlns:a16="http://schemas.microsoft.com/office/drawing/2014/main" id="{D70C4B12-698A-6FEF-C008-394453905B0D}"/>
            </a:ext>
          </a:extLst>
        </xdr:cNvPr>
        <xdr:cNvSpPr/>
      </xdr:nvSpPr>
      <xdr:spPr>
        <a:xfrm>
          <a:off x="5880100" y="43850"/>
          <a:ext cx="1212850" cy="1289650"/>
        </a:xfrm>
        <a:prstGeom prst="roundRect">
          <a:avLst>
            <a:gd name="adj" fmla="val 6614"/>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a:p>
          <a:pPr algn="l"/>
          <a:endParaRPr lang="en-IN" sz="1100"/>
        </a:p>
        <a:p>
          <a:pPr algn="l"/>
          <a:endParaRPr lang="en-IN" sz="1100"/>
        </a:p>
        <a:p>
          <a:pPr algn="l"/>
          <a:endParaRPr lang="en-IN" sz="1100"/>
        </a:p>
        <a:p>
          <a:pPr algn="l"/>
          <a:endParaRPr lang="en-IN" sz="1100"/>
        </a:p>
        <a:p>
          <a:pPr algn="l"/>
          <a:endParaRPr lang="en-IN" sz="1100"/>
        </a:p>
        <a:p>
          <a:pPr algn="ctr"/>
          <a:r>
            <a:rPr lang="en-IN" sz="800"/>
            <a:t>Gender wise</a:t>
          </a:r>
          <a:r>
            <a:rPr lang="en-IN" sz="800" baseline="0"/>
            <a:t> Analysis</a:t>
          </a:r>
          <a:endParaRPr lang="en-IN" sz="800"/>
        </a:p>
      </xdr:txBody>
    </xdr:sp>
    <xdr:clientData/>
  </xdr:twoCellAnchor>
  <xdr:twoCellAnchor editAs="absolute">
    <xdr:from>
      <xdr:col>7</xdr:col>
      <xdr:colOff>304800</xdr:colOff>
      <xdr:row>0</xdr:row>
      <xdr:rowOff>43850</xdr:rowOff>
    </xdr:from>
    <xdr:to>
      <xdr:col>9</xdr:col>
      <xdr:colOff>349250</xdr:colOff>
      <xdr:row>7</xdr:row>
      <xdr:rowOff>0</xdr:rowOff>
    </xdr:to>
    <xdr:sp macro="" textlink="">
      <xdr:nvSpPr>
        <xdr:cNvPr id="7" name="Rectangle: Rounded Corners 6">
          <a:extLst>
            <a:ext uri="{FF2B5EF4-FFF2-40B4-BE49-F238E27FC236}">
              <a16:creationId xmlns:a16="http://schemas.microsoft.com/office/drawing/2014/main" id="{F40981EC-F303-3343-2984-80C14DAAD18F}"/>
            </a:ext>
          </a:extLst>
        </xdr:cNvPr>
        <xdr:cNvSpPr/>
      </xdr:nvSpPr>
      <xdr:spPr>
        <a:xfrm>
          <a:off x="4572000" y="43850"/>
          <a:ext cx="1263650" cy="1289650"/>
        </a:xfrm>
        <a:prstGeom prst="roundRect">
          <a:avLst>
            <a:gd name="adj" fmla="val 6614"/>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a:p>
          <a:pPr algn="l"/>
          <a:endParaRPr lang="en-IN" sz="1100"/>
        </a:p>
        <a:p>
          <a:pPr algn="l"/>
          <a:endParaRPr lang="en-IN" sz="1100"/>
        </a:p>
        <a:p>
          <a:pPr algn="l"/>
          <a:endParaRPr lang="en-IN" sz="1100"/>
        </a:p>
        <a:p>
          <a:pPr algn="l"/>
          <a:endParaRPr lang="en-IN" sz="1100"/>
        </a:p>
        <a:p>
          <a:pPr algn="l"/>
          <a:endParaRPr lang="en-IN" sz="1100"/>
        </a:p>
        <a:p>
          <a:pPr algn="ctr"/>
          <a:r>
            <a:rPr lang="en-IN" sz="800"/>
            <a:t>Patient Attend Status</a:t>
          </a:r>
        </a:p>
      </xdr:txBody>
    </xdr:sp>
    <xdr:clientData/>
  </xdr:twoCellAnchor>
  <xdr:twoCellAnchor editAs="absolute">
    <xdr:from>
      <xdr:col>0</xdr:col>
      <xdr:colOff>31900</xdr:colOff>
      <xdr:row>3</xdr:row>
      <xdr:rowOff>50800</xdr:rowOff>
    </xdr:from>
    <xdr:to>
      <xdr:col>1</xdr:col>
      <xdr:colOff>44450</xdr:colOff>
      <xdr:row>15</xdr:row>
      <xdr:rowOff>203200</xdr:rowOff>
    </xdr:to>
    <xdr:sp macro="" textlink="">
      <xdr:nvSpPr>
        <xdr:cNvPr id="8" name="Rectangle: Rounded Corners 7">
          <a:extLst>
            <a:ext uri="{FF2B5EF4-FFF2-40B4-BE49-F238E27FC236}">
              <a16:creationId xmlns:a16="http://schemas.microsoft.com/office/drawing/2014/main" id="{40A1A6BB-75C9-49DB-044E-B0C279481412}"/>
            </a:ext>
          </a:extLst>
        </xdr:cNvPr>
        <xdr:cNvSpPr/>
      </xdr:nvSpPr>
      <xdr:spPr>
        <a:xfrm>
          <a:off x="31900" y="622300"/>
          <a:ext cx="622150" cy="2438400"/>
        </a:xfrm>
        <a:prstGeom prst="roundRect">
          <a:avLst>
            <a:gd name="adj" fmla="val 0"/>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xdr:col>
      <xdr:colOff>94130</xdr:colOff>
      <xdr:row>10</xdr:row>
      <xdr:rowOff>38100</xdr:rowOff>
    </xdr:from>
    <xdr:to>
      <xdr:col>7</xdr:col>
      <xdr:colOff>254000</xdr:colOff>
      <xdr:row>15</xdr:row>
      <xdr:rowOff>203200</xdr:rowOff>
    </xdr:to>
    <xdr:sp macro="" textlink="">
      <xdr:nvSpPr>
        <xdr:cNvPr id="9" name="Rectangle: Rounded Corners 8">
          <a:extLst>
            <a:ext uri="{FF2B5EF4-FFF2-40B4-BE49-F238E27FC236}">
              <a16:creationId xmlns:a16="http://schemas.microsoft.com/office/drawing/2014/main" id="{10D170B0-CFB7-5A01-AAFF-23A372E978D8}"/>
            </a:ext>
          </a:extLst>
        </xdr:cNvPr>
        <xdr:cNvSpPr/>
      </xdr:nvSpPr>
      <xdr:spPr>
        <a:xfrm>
          <a:off x="703730" y="1943100"/>
          <a:ext cx="3817470" cy="1117600"/>
        </a:xfrm>
        <a:prstGeom prst="roundRect">
          <a:avLst>
            <a:gd name="adj" fmla="val 2887"/>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 </a:t>
          </a:r>
        </a:p>
        <a:p>
          <a:pPr algn="l"/>
          <a:endParaRPr lang="en-IN" sz="1100"/>
        </a:p>
        <a:p>
          <a:pPr algn="l"/>
          <a:endParaRPr lang="en-IN" sz="1100"/>
        </a:p>
        <a:p>
          <a:pPr algn="l"/>
          <a:endParaRPr lang="en-IN" sz="1100"/>
        </a:p>
        <a:p>
          <a:pPr algn="ctr"/>
          <a:endParaRPr lang="en-IN" sz="1000" b="1"/>
        </a:p>
        <a:p>
          <a:pPr algn="ctr"/>
          <a:r>
            <a:rPr lang="en-IN" sz="1000" b="1"/>
            <a:t>No</a:t>
          </a:r>
          <a:r>
            <a:rPr lang="en-IN" sz="1000" b="1" baseline="0"/>
            <a:t> of Patients By Age Group</a:t>
          </a:r>
          <a:endParaRPr lang="en-IN" sz="1000" b="1"/>
        </a:p>
      </xdr:txBody>
    </xdr:sp>
    <xdr:clientData/>
  </xdr:twoCellAnchor>
  <xdr:twoCellAnchor editAs="absolute">
    <xdr:from>
      <xdr:col>1</xdr:col>
      <xdr:colOff>101600</xdr:colOff>
      <xdr:row>3</xdr:row>
      <xdr:rowOff>50800</xdr:rowOff>
    </xdr:from>
    <xdr:to>
      <xdr:col>3</xdr:col>
      <xdr:colOff>101599</xdr:colOff>
      <xdr:row>7</xdr:row>
      <xdr:rowOff>82550</xdr:rowOff>
    </xdr:to>
    <xdr:sp macro="" textlink="'Pivort Data'!A4">
      <xdr:nvSpPr>
        <xdr:cNvPr id="10" name="Rectangle: Rounded Corners 9">
          <a:extLst>
            <a:ext uri="{FF2B5EF4-FFF2-40B4-BE49-F238E27FC236}">
              <a16:creationId xmlns:a16="http://schemas.microsoft.com/office/drawing/2014/main" id="{E5CC3A52-F071-703D-505A-FB8DE532D3D1}"/>
            </a:ext>
          </a:extLst>
        </xdr:cNvPr>
        <xdr:cNvSpPr/>
      </xdr:nvSpPr>
      <xdr:spPr>
        <a:xfrm>
          <a:off x="711200" y="622300"/>
          <a:ext cx="1219199" cy="793750"/>
        </a:xfrm>
        <a:prstGeom prst="roundRect">
          <a:avLst>
            <a:gd name="adj" fmla="val 1251"/>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F655D42C-6CAD-43D4-8D0F-7BC3357C4676}" type="TxLink">
            <a:rPr lang="en-US" sz="1100" b="0" i="0" u="none" strike="noStrike">
              <a:solidFill>
                <a:srgbClr val="000000"/>
              </a:solidFill>
              <a:latin typeface="Aptos Narrow"/>
            </a:rPr>
            <a:pPr algn="ctr"/>
            <a:t>485</a:t>
          </a:fld>
          <a:endParaRPr lang="en-US" sz="1100" b="0" i="0" u="none" strike="noStrike">
            <a:solidFill>
              <a:srgbClr val="000000"/>
            </a:solidFill>
            <a:latin typeface="Aptos Narrow"/>
          </a:endParaRPr>
        </a:p>
        <a:p>
          <a:pPr algn="ctr"/>
          <a:r>
            <a:rPr lang="en-US" sz="800" b="0" i="0" u="none" strike="noStrike">
              <a:solidFill>
                <a:schemeClr val="bg1"/>
              </a:solidFill>
              <a:latin typeface="Aptos Narrow"/>
            </a:rPr>
            <a:t>No of Patients</a:t>
          </a:r>
        </a:p>
        <a:p>
          <a:pPr algn="ctr"/>
          <a:endParaRPr lang="en-IN" sz="1100"/>
        </a:p>
      </xdr:txBody>
    </xdr:sp>
    <xdr:clientData/>
  </xdr:twoCellAnchor>
  <xdr:twoCellAnchor editAs="absolute">
    <xdr:from>
      <xdr:col>3</xdr:col>
      <xdr:colOff>139700</xdr:colOff>
      <xdr:row>3</xdr:row>
      <xdr:rowOff>50800</xdr:rowOff>
    </xdr:from>
    <xdr:to>
      <xdr:col>5</xdr:col>
      <xdr:colOff>146050</xdr:colOff>
      <xdr:row>7</xdr:row>
      <xdr:rowOff>85051</xdr:rowOff>
    </xdr:to>
    <xdr:sp macro="" textlink="'Pivort Data'!A8">
      <xdr:nvSpPr>
        <xdr:cNvPr id="11" name="Rectangle: Rounded Corners 10">
          <a:extLst>
            <a:ext uri="{FF2B5EF4-FFF2-40B4-BE49-F238E27FC236}">
              <a16:creationId xmlns:a16="http://schemas.microsoft.com/office/drawing/2014/main" id="{D2E40B4D-932C-495E-E39F-256BCF17FE0A}"/>
            </a:ext>
          </a:extLst>
        </xdr:cNvPr>
        <xdr:cNvSpPr/>
      </xdr:nvSpPr>
      <xdr:spPr>
        <a:xfrm>
          <a:off x="1968500" y="622300"/>
          <a:ext cx="1225550" cy="796251"/>
        </a:xfrm>
        <a:prstGeom prst="roundRect">
          <a:avLst>
            <a:gd name="adj" fmla="val 4479"/>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45D32D11-39AF-4E42-A6F1-37008662E692}" type="TxLink">
            <a:rPr lang="en-US" sz="1100" b="0" i="0" u="none" strike="noStrike">
              <a:solidFill>
                <a:srgbClr val="000000"/>
              </a:solidFill>
              <a:latin typeface="Aptos Narrow"/>
            </a:rPr>
            <a:pPr algn="ctr"/>
            <a:t>35.51</a:t>
          </a:fld>
          <a:endParaRPr lang="en-US" sz="1100" b="0" i="0" u="none" strike="noStrike">
            <a:solidFill>
              <a:srgbClr val="000000"/>
            </a:solidFill>
            <a:latin typeface="Aptos Narrow"/>
          </a:endParaRPr>
        </a:p>
        <a:p>
          <a:pPr algn="ctr"/>
          <a:r>
            <a:rPr lang="en-IN" sz="800"/>
            <a:t>Avg. Wait</a:t>
          </a:r>
          <a:r>
            <a:rPr lang="en-IN" sz="800" baseline="0"/>
            <a:t> time</a:t>
          </a:r>
          <a:endParaRPr lang="en-IN" sz="800"/>
        </a:p>
      </xdr:txBody>
    </xdr:sp>
    <xdr:clientData/>
  </xdr:twoCellAnchor>
  <xdr:twoCellAnchor editAs="absolute">
    <xdr:from>
      <xdr:col>5</xdr:col>
      <xdr:colOff>196851</xdr:colOff>
      <xdr:row>3</xdr:row>
      <xdr:rowOff>44450</xdr:rowOff>
    </xdr:from>
    <xdr:to>
      <xdr:col>7</xdr:col>
      <xdr:colOff>260351</xdr:colOff>
      <xdr:row>7</xdr:row>
      <xdr:rowOff>72351</xdr:rowOff>
    </xdr:to>
    <xdr:sp macro="" textlink="'Pivort Data'!A12">
      <xdr:nvSpPr>
        <xdr:cNvPr id="14" name="Rectangle: Rounded Corners 13">
          <a:extLst>
            <a:ext uri="{FF2B5EF4-FFF2-40B4-BE49-F238E27FC236}">
              <a16:creationId xmlns:a16="http://schemas.microsoft.com/office/drawing/2014/main" id="{E618B630-7C0A-8D78-9BBA-4DC039FECC35}"/>
            </a:ext>
          </a:extLst>
        </xdr:cNvPr>
        <xdr:cNvSpPr/>
      </xdr:nvSpPr>
      <xdr:spPr>
        <a:xfrm>
          <a:off x="3244851" y="615950"/>
          <a:ext cx="1282700" cy="789901"/>
        </a:xfrm>
        <a:prstGeom prst="roundRect">
          <a:avLst>
            <a:gd name="adj" fmla="val 2898"/>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3E52851D-3250-4F7A-B419-363578D668CA}" type="TxLink">
            <a:rPr lang="en-US" sz="1100" b="0" i="0" u="none" strike="noStrike">
              <a:solidFill>
                <a:srgbClr val="000000"/>
              </a:solidFill>
              <a:latin typeface="Aptos Narrow"/>
            </a:rPr>
            <a:pPr algn="ctr"/>
            <a:t>4.71</a:t>
          </a:fld>
          <a:endParaRPr lang="en-US" sz="1100" b="0" i="0" u="none" strike="noStrike">
            <a:solidFill>
              <a:srgbClr val="000000"/>
            </a:solidFill>
            <a:latin typeface="Aptos Narrow"/>
          </a:endParaRPr>
        </a:p>
        <a:p>
          <a:pPr algn="ctr"/>
          <a:r>
            <a:rPr lang="en-IN" sz="800"/>
            <a:t>Patient satisfaction Score</a:t>
          </a:r>
        </a:p>
        <a:p>
          <a:pPr algn="ctr"/>
          <a:endParaRPr lang="en-IN" sz="800"/>
        </a:p>
      </xdr:txBody>
    </xdr:sp>
    <xdr:clientData/>
  </xdr:twoCellAnchor>
  <xdr:twoCellAnchor editAs="absolute">
    <xdr:from>
      <xdr:col>1</xdr:col>
      <xdr:colOff>88900</xdr:colOff>
      <xdr:row>7</xdr:row>
      <xdr:rowOff>119305</xdr:rowOff>
    </xdr:from>
    <xdr:to>
      <xdr:col>7</xdr:col>
      <xdr:colOff>254000</xdr:colOff>
      <xdr:row>10</xdr:row>
      <xdr:rowOff>6350</xdr:rowOff>
    </xdr:to>
    <xdr:sp macro="" textlink="">
      <xdr:nvSpPr>
        <xdr:cNvPr id="20" name="Rectangle: Rounded Corners 19">
          <a:extLst>
            <a:ext uri="{FF2B5EF4-FFF2-40B4-BE49-F238E27FC236}">
              <a16:creationId xmlns:a16="http://schemas.microsoft.com/office/drawing/2014/main" id="{A4675F51-5A6B-A60A-5B65-03976F1985C0}"/>
            </a:ext>
          </a:extLst>
        </xdr:cNvPr>
        <xdr:cNvSpPr/>
      </xdr:nvSpPr>
      <xdr:spPr>
        <a:xfrm>
          <a:off x="698500" y="1452805"/>
          <a:ext cx="3822700" cy="458545"/>
        </a:xfrm>
        <a:prstGeom prst="roundRect">
          <a:avLst>
            <a:gd name="adj" fmla="val 6973"/>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100"/>
            <a:t> </a:t>
          </a:r>
        </a:p>
      </xdr:txBody>
    </xdr:sp>
    <xdr:clientData/>
  </xdr:twoCellAnchor>
  <xdr:twoCellAnchor editAs="absolute">
    <xdr:from>
      <xdr:col>7</xdr:col>
      <xdr:colOff>298450</xdr:colOff>
      <xdr:row>7</xdr:row>
      <xdr:rowOff>25400</xdr:rowOff>
    </xdr:from>
    <xdr:to>
      <xdr:col>11</xdr:col>
      <xdr:colOff>381000</xdr:colOff>
      <xdr:row>15</xdr:row>
      <xdr:rowOff>209550</xdr:rowOff>
    </xdr:to>
    <xdr:sp macro="" textlink="">
      <xdr:nvSpPr>
        <xdr:cNvPr id="21" name="Rectangle: Rounded Corners 20">
          <a:extLst>
            <a:ext uri="{FF2B5EF4-FFF2-40B4-BE49-F238E27FC236}">
              <a16:creationId xmlns:a16="http://schemas.microsoft.com/office/drawing/2014/main" id="{8EB5BE4F-8C80-07E2-8725-944C193B780D}"/>
            </a:ext>
          </a:extLst>
        </xdr:cNvPr>
        <xdr:cNvSpPr/>
      </xdr:nvSpPr>
      <xdr:spPr>
        <a:xfrm>
          <a:off x="4565650" y="1358900"/>
          <a:ext cx="2520950" cy="1708150"/>
        </a:xfrm>
        <a:prstGeom prst="roundRect">
          <a:avLst>
            <a:gd name="adj" fmla="val 2724"/>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a:p>
          <a:pPr algn="l"/>
          <a:endParaRPr lang="en-IN" sz="1100"/>
        </a:p>
        <a:p>
          <a:pPr algn="l"/>
          <a:endParaRPr lang="en-IN" sz="1100"/>
        </a:p>
        <a:p>
          <a:pPr algn="l"/>
          <a:endParaRPr lang="en-IN" sz="1100"/>
        </a:p>
        <a:p>
          <a:pPr algn="l"/>
          <a:endParaRPr lang="en-IN" sz="1100"/>
        </a:p>
        <a:p>
          <a:pPr algn="l"/>
          <a:endParaRPr lang="en-IN" sz="1100"/>
        </a:p>
        <a:p>
          <a:pPr algn="l"/>
          <a:endParaRPr lang="en-IN" sz="1100"/>
        </a:p>
      </xdr:txBody>
    </xdr:sp>
    <xdr:clientData/>
  </xdr:twoCellAnchor>
  <xdr:twoCellAnchor editAs="oneCell">
    <xdr:from>
      <xdr:col>0</xdr:col>
      <xdr:colOff>0</xdr:colOff>
      <xdr:row>0</xdr:row>
      <xdr:rowOff>76200</xdr:rowOff>
    </xdr:from>
    <xdr:to>
      <xdr:col>1</xdr:col>
      <xdr:colOff>120650</xdr:colOff>
      <xdr:row>3</xdr:row>
      <xdr:rowOff>95250</xdr:rowOff>
    </xdr:to>
    <xdr:pic>
      <xdr:nvPicPr>
        <xdr:cNvPr id="23" name="Picture 22">
          <a:extLst>
            <a:ext uri="{FF2B5EF4-FFF2-40B4-BE49-F238E27FC236}">
              <a16:creationId xmlns:a16="http://schemas.microsoft.com/office/drawing/2014/main" id="{603A1E95-9739-741A-FA33-46B60B114F82}"/>
            </a:ext>
          </a:extLst>
        </xdr:cNvPr>
        <xdr:cNvPicPr>
          <a:picLocks noChangeAspect="1"/>
        </xdr:cNvPicPr>
      </xdr:nvPicPr>
      <xdr:blipFill>
        <a:blip xmlns:r="http://schemas.openxmlformats.org/officeDocument/2006/relationships" r:embed="rId1" cstate="print">
          <a:biLevel thresh="25000"/>
          <a:extLst>
            <a:ext uri="{28A0092B-C50C-407E-A947-70E740481C1C}">
              <a14:useLocalDpi xmlns:a14="http://schemas.microsoft.com/office/drawing/2010/main" val="0"/>
            </a:ext>
          </a:extLst>
        </a:blip>
        <a:stretch>
          <a:fillRect/>
        </a:stretch>
      </xdr:blipFill>
      <xdr:spPr>
        <a:xfrm>
          <a:off x="0" y="76200"/>
          <a:ext cx="730250" cy="590550"/>
        </a:xfrm>
        <a:prstGeom prst="rect">
          <a:avLst/>
        </a:prstGeom>
      </xdr:spPr>
    </xdr:pic>
    <xdr:clientData/>
  </xdr:twoCellAnchor>
  <xdr:twoCellAnchor editAs="oneCell">
    <xdr:from>
      <xdr:col>0</xdr:col>
      <xdr:colOff>50950</xdr:colOff>
      <xdr:row>3</xdr:row>
      <xdr:rowOff>76200</xdr:rowOff>
    </xdr:from>
    <xdr:to>
      <xdr:col>1</xdr:col>
      <xdr:colOff>19050</xdr:colOff>
      <xdr:row>15</xdr:row>
      <xdr:rowOff>177800</xdr:rowOff>
    </xdr:to>
    <mc:AlternateContent xmlns:mc="http://schemas.openxmlformats.org/markup-compatibility/2006" xmlns:a14="http://schemas.microsoft.com/office/drawing/2010/main">
      <mc:Choice Requires="a14">
        <xdr:graphicFrame macro="">
          <xdr:nvGraphicFramePr>
            <xdr:cNvPr id="31" name="Date (Month)">
              <a:extLst>
                <a:ext uri="{FF2B5EF4-FFF2-40B4-BE49-F238E27FC236}">
                  <a16:creationId xmlns:a16="http://schemas.microsoft.com/office/drawing/2014/main" id="{63A9B586-4FA2-48C2-A08E-0EF3860D55C8}"/>
                </a:ext>
              </a:extLst>
            </xdr:cNvPr>
            <xdr:cNvGraphicFramePr/>
          </xdr:nvGraphicFramePr>
          <xdr:xfrm>
            <a:off x="0" y="0"/>
            <a:ext cx="0" cy="0"/>
          </xdr:xfrm>
          <a:graphic>
            <a:graphicData uri="http://schemas.microsoft.com/office/drawing/2010/slicer">
              <sle:slicer xmlns:sle="http://schemas.microsoft.com/office/drawing/2010/slicer" name="Date (Month)"/>
            </a:graphicData>
          </a:graphic>
        </xdr:graphicFrame>
      </mc:Choice>
      <mc:Fallback xmlns="">
        <xdr:sp macro="" textlink="">
          <xdr:nvSpPr>
            <xdr:cNvPr id="0" name=""/>
            <xdr:cNvSpPr>
              <a:spLocks noTextEdit="1"/>
            </xdr:cNvSpPr>
          </xdr:nvSpPr>
          <xdr:spPr>
            <a:xfrm>
              <a:off x="50950" y="647700"/>
              <a:ext cx="577700" cy="23367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101600</xdr:colOff>
      <xdr:row>4</xdr:row>
      <xdr:rowOff>69850</xdr:rowOff>
    </xdr:from>
    <xdr:to>
      <xdr:col>3</xdr:col>
      <xdr:colOff>95250</xdr:colOff>
      <xdr:row>7</xdr:row>
      <xdr:rowOff>69850</xdr:rowOff>
    </xdr:to>
    <xdr:graphicFrame macro="">
      <xdr:nvGraphicFramePr>
        <xdr:cNvPr id="33" name="Chart 32">
          <a:hlinkClick xmlns:r="http://schemas.openxmlformats.org/officeDocument/2006/relationships" r:id="rId2"/>
          <a:extLst>
            <a:ext uri="{FF2B5EF4-FFF2-40B4-BE49-F238E27FC236}">
              <a16:creationId xmlns:a16="http://schemas.microsoft.com/office/drawing/2014/main" id="{14594DC0-27D0-44A7-8442-E56EE272D1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133350</xdr:colOff>
      <xdr:row>4</xdr:row>
      <xdr:rowOff>88900</xdr:rowOff>
    </xdr:from>
    <xdr:to>
      <xdr:col>5</xdr:col>
      <xdr:colOff>152400</xdr:colOff>
      <xdr:row>7</xdr:row>
      <xdr:rowOff>82550</xdr:rowOff>
    </xdr:to>
    <xdr:graphicFrame macro="">
      <xdr:nvGraphicFramePr>
        <xdr:cNvPr id="34" name="Chart 33">
          <a:hlinkClick xmlns:r="http://schemas.openxmlformats.org/officeDocument/2006/relationships" r:id="rId4"/>
          <a:extLst>
            <a:ext uri="{FF2B5EF4-FFF2-40B4-BE49-F238E27FC236}">
              <a16:creationId xmlns:a16="http://schemas.microsoft.com/office/drawing/2014/main" id="{3749DBE7-2EB1-4CC1-B064-E7598E2227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190501</xdr:colOff>
      <xdr:row>4</xdr:row>
      <xdr:rowOff>107950</xdr:rowOff>
    </xdr:from>
    <xdr:to>
      <xdr:col>7</xdr:col>
      <xdr:colOff>247650</xdr:colOff>
      <xdr:row>7</xdr:row>
      <xdr:rowOff>82550</xdr:rowOff>
    </xdr:to>
    <xdr:graphicFrame macro="">
      <xdr:nvGraphicFramePr>
        <xdr:cNvPr id="4" name="Chart 3">
          <a:hlinkClick xmlns:r="http://schemas.openxmlformats.org/officeDocument/2006/relationships" r:id="rId6"/>
          <a:extLst>
            <a:ext uri="{FF2B5EF4-FFF2-40B4-BE49-F238E27FC236}">
              <a16:creationId xmlns:a16="http://schemas.microsoft.com/office/drawing/2014/main" id="{78C1D8A2-FFFB-44DE-BBAD-16148FF58E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88901</xdr:colOff>
          <xdr:row>7</xdr:row>
          <xdr:rowOff>127001</xdr:rowOff>
        </xdr:from>
        <xdr:to>
          <xdr:col>7</xdr:col>
          <xdr:colOff>247651</xdr:colOff>
          <xdr:row>9</xdr:row>
          <xdr:rowOff>184150</xdr:rowOff>
        </xdr:to>
        <xdr:pic>
          <xdr:nvPicPr>
            <xdr:cNvPr id="36" name="Picture 35">
              <a:extLst>
                <a:ext uri="{FF2B5EF4-FFF2-40B4-BE49-F238E27FC236}">
                  <a16:creationId xmlns:a16="http://schemas.microsoft.com/office/drawing/2014/main" id="{F67126F9-9F38-05E5-1467-DEAE4ACE1965}"/>
                </a:ext>
              </a:extLst>
            </xdr:cNvPr>
            <xdr:cNvPicPr>
              <a:picLocks noChangeAspect="1" noChangeArrowheads="1"/>
              <a:extLst>
                <a:ext uri="{84589F7E-364E-4C9E-8A38-B11213B215E9}">
                  <a14:cameraTool cellRange="'Pivort Data'!$A$44:$D$46" spid="_x0000_s1068"/>
                </a:ext>
              </a:extLst>
            </xdr:cNvPicPr>
          </xdr:nvPicPr>
          <xdr:blipFill>
            <a:blip xmlns:r="http://schemas.openxmlformats.org/officeDocument/2006/relationships" r:embed="rId8"/>
            <a:srcRect/>
            <a:stretch>
              <a:fillRect/>
            </a:stretch>
          </xdr:blipFill>
          <xdr:spPr bwMode="auto">
            <a:xfrm>
              <a:off x="698501" y="1460501"/>
              <a:ext cx="3816350" cy="438149"/>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xdr:col>
      <xdr:colOff>114300</xdr:colOff>
      <xdr:row>10</xdr:row>
      <xdr:rowOff>50800</xdr:rowOff>
    </xdr:from>
    <xdr:to>
      <xdr:col>7</xdr:col>
      <xdr:colOff>241300</xdr:colOff>
      <xdr:row>15</xdr:row>
      <xdr:rowOff>76200</xdr:rowOff>
    </xdr:to>
    <xdr:graphicFrame macro="">
      <xdr:nvGraphicFramePr>
        <xdr:cNvPr id="37" name="Chart 36">
          <a:extLst>
            <a:ext uri="{FF2B5EF4-FFF2-40B4-BE49-F238E27FC236}">
              <a16:creationId xmlns:a16="http://schemas.microsoft.com/office/drawing/2014/main" id="{C41908BB-9F63-4079-A3C6-9E4618F679B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323850</xdr:colOff>
      <xdr:row>0</xdr:row>
      <xdr:rowOff>57150</xdr:rowOff>
    </xdr:from>
    <xdr:to>
      <xdr:col>9</xdr:col>
      <xdr:colOff>330200</xdr:colOff>
      <xdr:row>6</xdr:row>
      <xdr:rowOff>69850</xdr:rowOff>
    </xdr:to>
    <xdr:graphicFrame macro="">
      <xdr:nvGraphicFramePr>
        <xdr:cNvPr id="44" name="Chart 43">
          <a:extLst>
            <a:ext uri="{FF2B5EF4-FFF2-40B4-BE49-F238E27FC236}">
              <a16:creationId xmlns:a16="http://schemas.microsoft.com/office/drawing/2014/main" id="{98BF1B41-2CC8-4406-999B-5515CB09B4E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9</xdr:col>
      <xdr:colOff>393701</xdr:colOff>
      <xdr:row>0</xdr:row>
      <xdr:rowOff>43850</xdr:rowOff>
    </xdr:from>
    <xdr:to>
      <xdr:col>11</xdr:col>
      <xdr:colOff>374651</xdr:colOff>
      <xdr:row>6</xdr:row>
      <xdr:rowOff>184150</xdr:rowOff>
    </xdr:to>
    <xdr:graphicFrame macro="">
      <xdr:nvGraphicFramePr>
        <xdr:cNvPr id="45" name="Chart 44">
          <a:extLst>
            <a:ext uri="{FF2B5EF4-FFF2-40B4-BE49-F238E27FC236}">
              <a16:creationId xmlns:a16="http://schemas.microsoft.com/office/drawing/2014/main" id="{5115375E-504B-4784-AFE6-ED19B746A4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xdr:col>
      <xdr:colOff>323850</xdr:colOff>
      <xdr:row>7</xdr:row>
      <xdr:rowOff>50200</xdr:rowOff>
    </xdr:from>
    <xdr:to>
      <xdr:col>11</xdr:col>
      <xdr:colOff>317500</xdr:colOff>
      <xdr:row>14</xdr:row>
      <xdr:rowOff>184150</xdr:rowOff>
    </xdr:to>
    <xdr:graphicFrame macro="">
      <xdr:nvGraphicFramePr>
        <xdr:cNvPr id="46" name="Chart 45">
          <a:extLst>
            <a:ext uri="{FF2B5EF4-FFF2-40B4-BE49-F238E27FC236}">
              <a16:creationId xmlns:a16="http://schemas.microsoft.com/office/drawing/2014/main" id="{AE137B55-802C-4DBD-8C17-645E327D29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oneCellAnchor>
    <xdr:from>
      <xdr:col>11</xdr:col>
      <xdr:colOff>222250</xdr:colOff>
      <xdr:row>16</xdr:row>
      <xdr:rowOff>177800</xdr:rowOff>
    </xdr:from>
    <xdr:ext cx="184731" cy="264560"/>
    <xdr:sp macro="" textlink="">
      <xdr:nvSpPr>
        <xdr:cNvPr id="47" name="TextBox 46">
          <a:extLst>
            <a:ext uri="{FF2B5EF4-FFF2-40B4-BE49-F238E27FC236}">
              <a16:creationId xmlns:a16="http://schemas.microsoft.com/office/drawing/2014/main" id="{B7A792C3-3C0E-2377-1386-C90487AF7FCD}"/>
            </a:ext>
          </a:extLst>
        </xdr:cNvPr>
        <xdr:cNvSpPr txBox="1"/>
      </xdr:nvSpPr>
      <xdr:spPr>
        <a:xfrm>
          <a:off x="6927850" y="3282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xdr:oneCellAnchor>
    <xdr:from>
      <xdr:col>7</xdr:col>
      <xdr:colOff>603250</xdr:colOff>
      <xdr:row>14</xdr:row>
      <xdr:rowOff>139700</xdr:rowOff>
    </xdr:from>
    <xdr:ext cx="2152650" cy="190500"/>
    <xdr:sp macro="" textlink="">
      <xdr:nvSpPr>
        <xdr:cNvPr id="48" name="TextBox 47">
          <a:extLst>
            <a:ext uri="{FF2B5EF4-FFF2-40B4-BE49-F238E27FC236}">
              <a16:creationId xmlns:a16="http://schemas.microsoft.com/office/drawing/2014/main" id="{6485BDBB-41A6-1B77-5673-E9FAB006224C}"/>
            </a:ext>
          </a:extLst>
        </xdr:cNvPr>
        <xdr:cNvSpPr txBox="1"/>
      </xdr:nvSpPr>
      <xdr:spPr>
        <a:xfrm>
          <a:off x="4870450" y="2806700"/>
          <a:ext cx="2152650" cy="1905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IN" sz="800" b="1">
              <a:solidFill>
                <a:schemeClr val="bg1"/>
              </a:solidFill>
            </a:rPr>
            <a:t>No</a:t>
          </a:r>
          <a:r>
            <a:rPr lang="en-IN" sz="800" b="1" baseline="0">
              <a:solidFill>
                <a:schemeClr val="bg1"/>
              </a:solidFill>
            </a:rPr>
            <a:t> of Patient by Departmental Referal</a:t>
          </a:r>
          <a:endParaRPr lang="en-IN" sz="800" b="1">
            <a:solidFill>
              <a:schemeClr val="bg1"/>
            </a:solidFill>
          </a:endParaRPr>
        </a:p>
      </xdr:txBody>
    </xdr:sp>
    <xdr:clientData/>
  </xdr:oneCellAnchor>
  <xdr:twoCellAnchor editAs="oneCell">
    <xdr:from>
      <xdr:col>5</xdr:col>
      <xdr:colOff>317500</xdr:colOff>
      <xdr:row>0</xdr:row>
      <xdr:rowOff>57150</xdr:rowOff>
    </xdr:from>
    <xdr:to>
      <xdr:col>7</xdr:col>
      <xdr:colOff>247650</xdr:colOff>
      <xdr:row>2</xdr:row>
      <xdr:rowOff>177800</xdr:rowOff>
    </xdr:to>
    <mc:AlternateContent xmlns:mc="http://schemas.openxmlformats.org/markup-compatibility/2006" xmlns:a14="http://schemas.microsoft.com/office/drawing/2010/main">
      <mc:Choice Requires="a14">
        <xdr:graphicFrame macro="">
          <xdr:nvGraphicFramePr>
            <xdr:cNvPr id="12" name="Date (Year)">
              <a:extLst>
                <a:ext uri="{FF2B5EF4-FFF2-40B4-BE49-F238E27FC236}">
                  <a16:creationId xmlns:a16="http://schemas.microsoft.com/office/drawing/2014/main" id="{16F7D151-3C52-4A52-AE5A-23D3AFF62AF0}"/>
                </a:ext>
              </a:extLst>
            </xdr:cNvPr>
            <xdr:cNvGraphicFramePr/>
          </xdr:nvGraphicFramePr>
          <xdr:xfrm>
            <a:off x="0" y="0"/>
            <a:ext cx="0" cy="0"/>
          </xdr:xfrm>
          <a:graphic>
            <a:graphicData uri="http://schemas.microsoft.com/office/drawing/2010/slicer">
              <sle:slicer xmlns:sle="http://schemas.microsoft.com/office/drawing/2010/slicer" name="Date (Year)"/>
            </a:graphicData>
          </a:graphic>
        </xdr:graphicFrame>
      </mc:Choice>
      <mc:Fallback xmlns="">
        <xdr:sp macro="" textlink="">
          <xdr:nvSpPr>
            <xdr:cNvPr id="0" name=""/>
            <xdr:cNvSpPr>
              <a:spLocks noTextEdit="1"/>
            </xdr:cNvSpPr>
          </xdr:nvSpPr>
          <xdr:spPr>
            <a:xfrm>
              <a:off x="3360208" y="57150"/>
              <a:ext cx="1147234" cy="5016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368300</xdr:colOff>
      <xdr:row>3</xdr:row>
      <xdr:rowOff>38100</xdr:rowOff>
    </xdr:from>
    <xdr:to>
      <xdr:col>3</xdr:col>
      <xdr:colOff>133350</xdr:colOff>
      <xdr:row>4</xdr:row>
      <xdr:rowOff>158750</xdr:rowOff>
    </xdr:to>
    <xdr:pic>
      <xdr:nvPicPr>
        <xdr:cNvPr id="15" name="Graphic 14" descr="User with solid fill">
          <a:extLst>
            <a:ext uri="{FF2B5EF4-FFF2-40B4-BE49-F238E27FC236}">
              <a16:creationId xmlns:a16="http://schemas.microsoft.com/office/drawing/2014/main" id="{35F0D874-0361-1BE1-31E2-409B5D0F2BE2}"/>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587500" y="609600"/>
          <a:ext cx="374650" cy="311150"/>
        </a:xfrm>
        <a:prstGeom prst="rect">
          <a:avLst/>
        </a:prstGeom>
      </xdr:spPr>
    </xdr:pic>
    <xdr:clientData/>
  </xdr:twoCellAnchor>
  <xdr:twoCellAnchor editAs="oneCell">
    <xdr:from>
      <xdr:col>4</xdr:col>
      <xdr:colOff>419100</xdr:colOff>
      <xdr:row>3</xdr:row>
      <xdr:rowOff>63500</xdr:rowOff>
    </xdr:from>
    <xdr:to>
      <xdr:col>5</xdr:col>
      <xdr:colOff>158750</xdr:colOff>
      <xdr:row>4</xdr:row>
      <xdr:rowOff>146050</xdr:rowOff>
    </xdr:to>
    <xdr:pic>
      <xdr:nvPicPr>
        <xdr:cNvPr id="17" name="Graphic 16" descr="Hourglass Finished with solid fill">
          <a:extLst>
            <a:ext uri="{FF2B5EF4-FFF2-40B4-BE49-F238E27FC236}">
              <a16:creationId xmlns:a16="http://schemas.microsoft.com/office/drawing/2014/main" id="{212A1FFE-A4B7-9EA3-F93C-9A8D873968F7}"/>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2857500" y="635000"/>
          <a:ext cx="349250" cy="273050"/>
        </a:xfrm>
        <a:prstGeom prst="rect">
          <a:avLst/>
        </a:prstGeom>
      </xdr:spPr>
    </xdr:pic>
    <xdr:clientData/>
  </xdr:twoCellAnchor>
  <xdr:twoCellAnchor editAs="oneCell">
    <xdr:from>
      <xdr:col>6</xdr:col>
      <xdr:colOff>501650</xdr:colOff>
      <xdr:row>3</xdr:row>
      <xdr:rowOff>31750</xdr:rowOff>
    </xdr:from>
    <xdr:to>
      <xdr:col>7</xdr:col>
      <xdr:colOff>241300</xdr:colOff>
      <xdr:row>4</xdr:row>
      <xdr:rowOff>133350</xdr:rowOff>
    </xdr:to>
    <xdr:pic>
      <xdr:nvPicPr>
        <xdr:cNvPr id="19" name="Graphic 18" descr="Subtitles with solid fill">
          <a:extLst>
            <a:ext uri="{FF2B5EF4-FFF2-40B4-BE49-F238E27FC236}">
              <a16:creationId xmlns:a16="http://schemas.microsoft.com/office/drawing/2014/main" id="{BE4CA720-4750-EAD0-4D6A-4DE86B6E8911}"/>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4159250" y="603250"/>
          <a:ext cx="349250" cy="2921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15</xdr:col>
      <xdr:colOff>361950</xdr:colOff>
      <xdr:row>21</xdr:row>
      <xdr:rowOff>161925</xdr:rowOff>
    </xdr:to>
    <xdr:graphicFrame macro="">
      <xdr:nvGraphicFramePr>
        <xdr:cNvPr id="2" name="Chart 1">
          <a:hlinkClick xmlns:r="http://schemas.openxmlformats.org/officeDocument/2006/relationships" r:id="rId1"/>
          <a:extLst>
            <a:ext uri="{FF2B5EF4-FFF2-40B4-BE49-F238E27FC236}">
              <a16:creationId xmlns:a16="http://schemas.microsoft.com/office/drawing/2014/main" id="{C2E49C28-410E-4F9D-9D8F-ECF40BF1469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352425</xdr:colOff>
      <xdr:row>0</xdr:row>
      <xdr:rowOff>19050</xdr:rowOff>
    </xdr:from>
    <xdr:to>
      <xdr:col>1</xdr:col>
      <xdr:colOff>457200</xdr:colOff>
      <xdr:row>2</xdr:row>
      <xdr:rowOff>133350</xdr:rowOff>
    </xdr:to>
    <xdr:pic>
      <xdr:nvPicPr>
        <xdr:cNvPr id="4" name="Graphic 3" descr="Home with solid fill">
          <a:hlinkClick xmlns:r="http://schemas.openxmlformats.org/officeDocument/2006/relationships" r:id="rId3"/>
          <a:extLst>
            <a:ext uri="{FF2B5EF4-FFF2-40B4-BE49-F238E27FC236}">
              <a16:creationId xmlns:a16="http://schemas.microsoft.com/office/drawing/2014/main" id="{209AE382-2163-8161-2F3F-7E9D6BB71AC2}"/>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352425" y="19050"/>
          <a:ext cx="714375" cy="4953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190499</xdr:rowOff>
    </xdr:from>
    <xdr:to>
      <xdr:col>15</xdr:col>
      <xdr:colOff>333375</xdr:colOff>
      <xdr:row>22</xdr:row>
      <xdr:rowOff>66675</xdr:rowOff>
    </xdr:to>
    <xdr:graphicFrame macro="">
      <xdr:nvGraphicFramePr>
        <xdr:cNvPr id="2" name="Chart 1">
          <a:hlinkClick xmlns:r="http://schemas.openxmlformats.org/officeDocument/2006/relationships" r:id="rId1"/>
          <a:extLst>
            <a:ext uri="{FF2B5EF4-FFF2-40B4-BE49-F238E27FC236}">
              <a16:creationId xmlns:a16="http://schemas.microsoft.com/office/drawing/2014/main" id="{843E84FE-6262-452C-837A-2E151EF2A5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9525</xdr:colOff>
      <xdr:row>0</xdr:row>
      <xdr:rowOff>171450</xdr:rowOff>
    </xdr:from>
    <xdr:to>
      <xdr:col>1</xdr:col>
      <xdr:colOff>114300</xdr:colOff>
      <xdr:row>3</xdr:row>
      <xdr:rowOff>95250</xdr:rowOff>
    </xdr:to>
    <xdr:pic>
      <xdr:nvPicPr>
        <xdr:cNvPr id="3" name="Graphic 2" descr="Home with solid fill">
          <a:hlinkClick xmlns:r="http://schemas.openxmlformats.org/officeDocument/2006/relationships" r:id="rId3"/>
          <a:extLst>
            <a:ext uri="{FF2B5EF4-FFF2-40B4-BE49-F238E27FC236}">
              <a16:creationId xmlns:a16="http://schemas.microsoft.com/office/drawing/2014/main" id="{430E4A2B-238C-4DE6-B790-E81F1134128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9525" y="171450"/>
          <a:ext cx="714375" cy="4953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1</xdr:row>
      <xdr:rowOff>0</xdr:rowOff>
    </xdr:from>
    <xdr:to>
      <xdr:col>13</xdr:col>
      <xdr:colOff>180974</xdr:colOff>
      <xdr:row>22</xdr:row>
      <xdr:rowOff>47625</xdr:rowOff>
    </xdr:to>
    <xdr:graphicFrame macro="">
      <xdr:nvGraphicFramePr>
        <xdr:cNvPr id="2" name="Chart 1">
          <a:extLst>
            <a:ext uri="{FF2B5EF4-FFF2-40B4-BE49-F238E27FC236}">
              <a16:creationId xmlns:a16="http://schemas.microsoft.com/office/drawing/2014/main" id="{1C03FE1E-6F66-4A03-859C-48C209E90E8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c:userShapes xmlns:c="http://schemas.openxmlformats.org/drawingml/2006/chart">
  <cdr:relSizeAnchor xmlns:cdr="http://schemas.openxmlformats.org/drawingml/2006/chartDrawing">
    <cdr:from>
      <cdr:x>0.00627</cdr:x>
      <cdr:y>0.01255</cdr:y>
    </cdr:from>
    <cdr:to>
      <cdr:x>0.0944</cdr:x>
      <cdr:y>0.1349</cdr:y>
    </cdr:to>
    <cdr:pic>
      <cdr:nvPicPr>
        <cdr:cNvPr id="2" name="Graphic 3" descr="Home with solid fill">
          <a:hlinkClick xmlns:a="http://schemas.openxmlformats.org/drawingml/2006/main" xmlns:r="http://schemas.openxmlformats.org/officeDocument/2006/relationships" r:id="rId1"/>
          <a:extLst xmlns:a="http://schemas.openxmlformats.org/drawingml/2006/main">
            <a:ext uri="{FF2B5EF4-FFF2-40B4-BE49-F238E27FC236}">
              <a16:creationId xmlns:a16="http://schemas.microsoft.com/office/drawing/2014/main" id="{209AE382-2163-8161-2F3F-7E9D6BB71AC2}"/>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a:extLst>
            <a:ext uri="{96DAC541-7B7A-43D3-8B79-37D633B846F1}">
              <asvg:svgBlip xmlns:asvg="http://schemas.microsoft.com/office/drawing/2016/SVG/main" r:embed="rId3"/>
            </a:ext>
          </a:extLst>
        </a:blip>
        <a:stretch xmlns:a="http://schemas.openxmlformats.org/drawingml/2006/main">
          <a:fillRect/>
        </a:stretch>
      </cdr:blipFill>
      <cdr:spPr>
        <a:xfrm xmlns:a="http://schemas.openxmlformats.org/drawingml/2006/main">
          <a:off x="50800" y="50800"/>
          <a:ext cx="714375" cy="495300"/>
        </a:xfrm>
        <a:prstGeom xmlns:a="http://schemas.openxmlformats.org/drawingml/2006/main" prst="rect">
          <a:avLst/>
        </a:prstGeom>
      </cdr:spPr>
    </cdr:pic>
  </cdr:relSizeAnchor>
</c:userShape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it Bhatt" refreshedDate="45819.986091319442" createdVersion="5" refreshedVersion="8" minRefreshableVersion="3" recordCount="0" supportSubquery="1" supportAdvancedDrill="1" xr:uid="{73D02B6B-BE46-433D-AB68-D79D04220ED8}">
  <cacheSource type="external" connectionId="3"/>
  <cacheFields count="4">
    <cacheField name="[Callender_Table].[Date (Month)].[Date (Month)]" caption="Date (Month)" numFmtId="0" hierarchy="1" level="1">
      <sharedItems count="1">
        <s v="Aug"/>
      </sharedItems>
    </cacheField>
    <cacheField name="[Callender_Table].[Date].[Date]" caption="Date" numFmtId="0" level="1">
      <sharedItems containsSemiMixedTypes="0" containsNonDate="0" containsDate="1" containsString="0" minDate="2023-08-01T00:00:00" maxDate="2024-09-01T00:00:00" count="62">
        <d v="2023-08-01T00:00:00"/>
        <d v="2023-08-02T00:00:00"/>
        <d v="2023-08-03T00:00:00"/>
        <d v="2023-08-04T00:00:00"/>
        <d v="2023-08-05T00:00:00"/>
        <d v="2023-08-06T00:00:00"/>
        <d v="2023-08-07T00:00:00"/>
        <d v="2023-08-08T00:00:00"/>
        <d v="2023-08-09T00:00:00"/>
        <d v="2023-08-10T00:00:00"/>
        <d v="2023-08-11T00:00:00"/>
        <d v="2023-08-12T00:00:00"/>
        <d v="2023-08-13T00:00:00"/>
        <d v="2023-08-14T00:00:00"/>
        <d v="2023-08-15T00:00:00"/>
        <d v="2023-08-16T00:00:00"/>
        <d v="2023-08-17T00:00:00"/>
        <d v="2023-08-18T00:00:00"/>
        <d v="2023-08-19T00:00:00"/>
        <d v="2023-08-20T00:00:00"/>
        <d v="2023-08-21T00:00:00"/>
        <d v="2023-08-22T00:00:00"/>
        <d v="2023-08-23T00:00:00"/>
        <d v="2023-08-24T00:00:00"/>
        <d v="2023-08-25T00:00:00"/>
        <d v="2023-08-26T00:00:00"/>
        <d v="2023-08-27T00:00:00"/>
        <d v="2023-08-28T00:00:00"/>
        <d v="2023-08-29T00:00:00"/>
        <d v="2023-08-30T00:00:00"/>
        <d v="2023-08-31T00:00:00"/>
        <d v="2024-08-01T00:00:00"/>
        <d v="2024-08-02T00:00:00"/>
        <d v="2024-08-03T00:00:00"/>
        <d v="2024-08-04T00:00:00"/>
        <d v="2024-08-05T00:00:00"/>
        <d v="2024-08-06T00:00:00"/>
        <d v="2024-08-07T00:00:00"/>
        <d v="2024-08-08T00:00:00"/>
        <d v="2024-08-09T00:00:00"/>
        <d v="2024-08-10T00:00:00"/>
        <d v="2024-08-11T00:00:00"/>
        <d v="2024-08-12T00:00:00"/>
        <d v="2024-08-13T00:00:00"/>
        <d v="2024-08-14T00:00:00"/>
        <d v="2024-08-15T00:00:00"/>
        <d v="2024-08-16T00:00:00"/>
        <d v="2024-08-17T00:00:00"/>
        <d v="2024-08-18T00:00:00"/>
        <d v="2024-08-19T00:00:00"/>
        <d v="2024-08-20T00:00:00"/>
        <d v="2024-08-21T00:00:00"/>
        <d v="2024-08-22T00:00:00"/>
        <d v="2024-08-23T00:00:00"/>
        <d v="2024-08-24T00:00:00"/>
        <d v="2024-08-25T00:00:00"/>
        <d v="2024-08-26T00:00:00"/>
        <d v="2024-08-27T00:00:00"/>
        <d v="2024-08-28T00:00:00"/>
        <d v="2024-08-29T00:00:00"/>
        <d v="2024-08-30T00:00:00"/>
        <d v="2024-08-31T00:00:00"/>
      </sharedItems>
    </cacheField>
    <cacheField name="[Callender_Table].[Date (Quarter)].[Date (Quarter)]" caption="Date (Quarter)" numFmtId="0" hierarchy="4" level="1">
      <sharedItems count="1">
        <s v="Qtr3"/>
      </sharedItems>
    </cacheField>
    <cacheField name="[Callender_Table].[Date (Year)].[Date (Year)]" caption="Date (Year)" numFmtId="0" hierarchy="3" level="1">
      <sharedItems count="1">
        <s v="2024"/>
      </sharedItems>
    </cacheField>
  </cacheFields>
  <cacheHierarchies count="36">
    <cacheHierarchy uniqueName="[Callender_Table].[Date]" caption="Date" attribute="1" time="1" defaultMemberUniqueName="[Callender_Table].[Date].[All]" allUniqueName="[Callender_Table].[Date].[All]" dimensionUniqueName="[Callender_Table]" displayFolder="" count="2" memberValueDatatype="7" unbalanced="0">
      <fieldsUsage count="2">
        <fieldUsage x="-1"/>
        <fieldUsage x="1"/>
      </fieldsUsage>
    </cacheHierarchy>
    <cacheHierarchy uniqueName="[Callender_Table].[Date (Month)]" caption="Date (Month)" attribute="1" defaultMemberUniqueName="[Callender_Table].[Date (Month)].[All]" allUniqueName="[Callender_Table].[Date (Month)].[All]" dimensionUniqueName="[Callender_Table]" displayFolder="" count="2" memberValueDatatype="130" unbalanced="0">
      <fieldsUsage count="2">
        <fieldUsage x="-1"/>
        <fieldUsage x="0"/>
      </fieldsUsage>
    </cacheHierarchy>
    <cacheHierarchy uniqueName="[Callender_Table].[Date (Day)]" caption="Date (Day)" attribute="1" defaultMemberUniqueName="[Callender_Table].[Date (Day)].[All]" allUniqueName="[Callender_Table].[Date (Day)].[All]" dimensionUniqueName="[Callender_Table]" displayFolder="" count="2" memberValueDatatype="130" unbalanced="0"/>
    <cacheHierarchy uniqueName="[Callender_Table].[Date (Year)]" caption="Date (Year)" attribute="1" defaultMemberUniqueName="[Callender_Table].[Date (Year)].[All]" allUniqueName="[Callender_Table].[Date (Year)].[All]" dimensionUniqueName="[Callender_Table]" displayFolder="" count="2" memberValueDatatype="130" unbalanced="0">
      <fieldsUsage count="2">
        <fieldUsage x="-1"/>
        <fieldUsage x="3"/>
      </fieldsUsage>
    </cacheHierarchy>
    <cacheHierarchy uniqueName="[Callender_Table].[Date (Quarter)]" caption="Date (Quarter)" attribute="1" defaultMemberUniqueName="[Callender_Table].[Date (Quarter)].[All]" allUniqueName="[Callender_Table].[Date (Quarter)].[All]" dimensionUniqueName="[Callender_Table]" displayFolder="" count="2" memberValueDatatype="130" unbalanced="0">
      <fieldsUsage count="2">
        <fieldUsage x="-1"/>
        <fieldUsage x="2"/>
      </fieldsUsage>
    </cacheHierarchy>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2"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2"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2" memberValueDatatype="7" unbalanced="0"/>
    <cacheHierarchy uniqueName="[Hospital Emergency Room Data].[Patient name]" caption="Patient name" attribute="1" defaultMemberUniqueName="[Hospital Emergency Room Data].[Patient name].[All]" allUniqueName="[Hospital Emergency Room Data].[Patient name].[All]" dimensionUniqueName="[Hospital Emergency Room Data]" displayFolder="" count="2"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2"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2"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2"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2"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2"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2"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2" memberValueDatatype="20" unbalanced="0"/>
    <cacheHierarchy uniqueName="[Hospital Emergency Room Data].[Patient Admission Flag_1]" caption="Patient Admission Flag_1" attribute="1" defaultMemberUniqueName="[Hospital Emergency Room Data].[Patient Admission Flag_1].[All]" allUniqueName="[Hospital Emergency Room Data].[Patient Admission Flag_1].[All]" dimensionUniqueName="[Hospital Emergency Room Data]" displayFolder="" count="2" memberValueDatatype="11"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2"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2" memberValueDatatype="130" unbalanced="0"/>
    <cacheHierarchy uniqueName="[Callender_Table].[Date (Day Index)]" caption="Date (Day Index)" attribute="1" defaultMemberUniqueName="[Callender_Table].[Date (Day Index)].[All]" allUniqueName="[Callender_Table].[Date (Day Index)].[All]" dimensionUniqueName="[Callender_Table]" displayFolder="" count="2" memberValueDatatype="5" unbalanced="0" hidden="1"/>
    <cacheHierarchy uniqueName="[Callender_Table].[Date (Month Index)]" caption="Date (Month Index)" attribute="1" defaultMemberUniqueName="[Callender_Table].[Date (Month Index)].[All]" allUniqueName="[Callender_Table].[Date (Month Index)].[All]" dimensionUniqueName="[Callender_Table]" displayFolder="" count="2"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lender_Table]" caption="__XL_Count Callender_Table" measure="1" displayFolder="" measureGroup="Callende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dmission Flag_1]" caption="Count of Patient Admission Flag_1"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Attend Status]" caption="Count of Patient Attend Status" measure="1" displayFolder="" measureGroup="Hospital Emergency Room Data" count="0" hidden="1">
      <extLst>
        <ext xmlns:x15="http://schemas.microsoft.com/office/spreadsheetml/2010/11/main" uri="{B97F6D7D-B522-45F9-BDA1-12C45D357490}">
          <x15:cacheHierarchy aggregatedColumn="18"/>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lender_Table" uniqueName="[Callender_Table]" caption="Callender_Table"/>
    <dimension name="Hospital Emergency Room Data" uniqueName="[Hospital Emergency Room Data]" caption="Hospital Emergency Room Data"/>
    <dimension measure="1" name="Measures" uniqueName="[Measures]" caption="Measures"/>
  </dimensions>
  <measureGroups count="2">
    <measureGroup name="Callender_Table" caption="Callende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it Bhatt" refreshedDate="45819.986091666666" createdVersion="5" refreshedVersion="8" minRefreshableVersion="3" recordCount="0" supportSubquery="1" supportAdvancedDrill="1" xr:uid="{B27B042B-B2E0-4902-BAAC-5F685EDC22CF}">
  <cacheSource type="external" connectionId="3"/>
  <cacheFields count="3">
    <cacheField name="[Measures].[Distinct Count of Patient Id]" caption="Distinct Count of Patient Id" numFmtId="0" hierarchy="25" level="32767"/>
    <cacheField name="[Callender_Table].[Date (Month)].[Date (Month)]" caption="Date (Month)" numFmtId="0" hierarchy="1" level="1">
      <sharedItems containsSemiMixedTypes="0" containsNonDate="0" containsString="0"/>
    </cacheField>
    <cacheField name="[Callender_Table].[Date (Year)].[Date (Year)]" caption="Date (Year)" numFmtId="0" hierarchy="3" level="1">
      <sharedItems containsSemiMixedTypes="0" containsNonDate="0" containsString="0"/>
    </cacheField>
  </cacheFields>
  <cacheHierarchies count="36">
    <cacheHierarchy uniqueName="[Callender_Table].[Date]" caption="Date" attribute="1" time="1" defaultMemberUniqueName="[Callender_Table].[Date].[All]" allUniqueName="[Callender_Table].[Date].[All]" dimensionUniqueName="[Callender_Table]" displayFolder="" count="0" memberValueDatatype="7" unbalanced="0"/>
    <cacheHierarchy uniqueName="[Callender_Table].[Date (Month)]" caption="Date (Month)" attribute="1" defaultMemberUniqueName="[Callender_Table].[Date (Month)].[All]" allUniqueName="[Callender_Table].[Date (Month)].[All]" dimensionUniqueName="[Callender_Table]" displayFolder="" count="2" memberValueDatatype="130" unbalanced="0">
      <fieldsUsage count="2">
        <fieldUsage x="-1"/>
        <fieldUsage x="1"/>
      </fieldsUsage>
    </cacheHierarchy>
    <cacheHierarchy uniqueName="[Callender_Table].[Date (Day)]" caption="Date (Day)" attribute="1" defaultMemberUniqueName="[Callender_Table].[Date (Day)].[All]" allUniqueName="[Callender_Table].[Date (Day)].[All]" dimensionUniqueName="[Callender_Table]" displayFolder="" count="0" memberValueDatatype="130" unbalanced="0"/>
    <cacheHierarchy uniqueName="[Callender_Table].[Date (Year)]" caption="Date (Year)" attribute="1" defaultMemberUniqueName="[Callender_Table].[Date (Year)].[All]" allUniqueName="[Callender_Table].[Date (Year)].[All]" dimensionUniqueName="[Callender_Table]" displayFolder="" count="2" memberValueDatatype="130" unbalanced="0">
      <fieldsUsage count="2">
        <fieldUsage x="-1"/>
        <fieldUsage x="2"/>
      </fieldsUsage>
    </cacheHierarchy>
    <cacheHierarchy uniqueName="[Callender_Table].[Date (Quarter)]" caption="Date (Quarter)" attribute="1" defaultMemberUniqueName="[Callender_Table].[Date (Quarter)].[All]" allUniqueName="[Callender_Table].[Date (Quarter)].[All]" dimensionUniqueName="[Callende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Patient name]" caption="Patient name" attribute="1" defaultMemberUniqueName="[Hospital Emergency Room Data].[Patient name].[All]" allUniqueName="[Hospital Emergency Room Data].[Patient name].[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Patient Admission Flag_1]" caption="Patient Admission Flag_1" attribute="1" defaultMemberUniqueName="[Hospital Emergency Room Data].[Patient Admission Flag_1].[All]" allUniqueName="[Hospital Emergency Room Data].[Patient Admission Flag_1].[All]" dimensionUniqueName="[Hospital Emergency Room Data]" displayFolder="" count="0" memberValueDatatype="11"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lender_Table].[Date (Day Index)]" caption="Date (Day Index)" attribute="1" defaultMemberUniqueName="[Callender_Table].[Date (Day Index)].[All]" allUniqueName="[Callender_Table].[Date (Day Index)].[All]" dimensionUniqueName="[Callender_Table]" displayFolder="" count="0" memberValueDatatype="5" unbalanced="0" hidden="1"/>
    <cacheHierarchy uniqueName="[Callender_Table].[Date (Month Index)]" caption="Date (Month Index)" attribute="1" defaultMemberUniqueName="[Callender_Table].[Date (Month Index)].[All]" allUniqueName="[Callender_Table].[Date (Month Index)].[All]" dimensionUniqueName="[Callende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lender_Table]" caption="__XL_Count Callender_Table" measure="1" displayFolder="" measureGroup="Callende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oneField="1" hidden="1">
      <fieldsUsage count="1">
        <fieldUsage x="0"/>
      </fieldsUsage>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dmission Flag_1]" caption="Count of Patient Admission Flag_1"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Attend Status]" caption="Count of Patient Attend Status" measure="1" displayFolder="" measureGroup="Hospital Emergency Room Data" count="0" hidden="1">
      <extLst>
        <ext xmlns:x15="http://schemas.microsoft.com/office/spreadsheetml/2010/11/main" uri="{B97F6D7D-B522-45F9-BDA1-12C45D357490}">
          <x15:cacheHierarchy aggregatedColumn="18"/>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lender_Table" uniqueName="[Callender_Table]" caption="Callender_Table"/>
    <dimension name="Hospital Emergency Room Data" uniqueName="[Hospital Emergency Room Data]" caption="Hospital Emergency Room Data"/>
    <dimension measure="1" name="Measures" uniqueName="[Measures]" caption="Measures"/>
  </dimensions>
  <measureGroups count="2">
    <measureGroup name="Callender_Table" caption="Callende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it Bhatt" refreshedDate="45819.986093518521" createdVersion="5" refreshedVersion="8" minRefreshableVersion="3" recordCount="0" supportSubquery="1" supportAdvancedDrill="1" xr:uid="{FE4CFA6D-FF7F-4661-BE95-9DE243621A2F}">
  <cacheSource type="external" connectionId="3"/>
  <cacheFields count="4">
    <cacheField name="[Callender_Table].[Date (Month)].[Date (Month)]" caption="Date (Month)" numFmtId="0" hierarchy="1" level="1">
      <sharedItems containsSemiMixedTypes="0" containsNonDate="0" containsString="0"/>
    </cacheField>
    <cacheField name="[Hospital Emergency Room Data].[Patient Attend Status].[Patient Attend Status]" caption="Patient Attend Status" numFmtId="0" hierarchy="18" level="1">
      <sharedItems count="2">
        <s v="Delay"/>
        <s v="Ontime"/>
      </sharedItems>
    </cacheField>
    <cacheField name="[Measures].[Count of Patient Attend Status]" caption="Count of Patient Attend Status" numFmtId="0" hierarchy="33" level="32767"/>
    <cacheField name="[Callender_Table].[Date (Year)].[Date (Year)]" caption="Date (Year)" numFmtId="0" hierarchy="3" level="1">
      <sharedItems containsSemiMixedTypes="0" containsNonDate="0" containsString="0"/>
    </cacheField>
  </cacheFields>
  <cacheHierarchies count="36">
    <cacheHierarchy uniqueName="[Callender_Table].[Date]" caption="Date" attribute="1" time="1" defaultMemberUniqueName="[Callender_Table].[Date].[All]" allUniqueName="[Callender_Table].[Date].[All]" dimensionUniqueName="[Callender_Table]" displayFolder="" count="0" memberValueDatatype="7" unbalanced="0"/>
    <cacheHierarchy uniqueName="[Callender_Table].[Date (Month)]" caption="Date (Month)" attribute="1" defaultMemberUniqueName="[Callender_Table].[Date (Month)].[All]" allUniqueName="[Callender_Table].[Date (Month)].[All]" dimensionUniqueName="[Callender_Table]" displayFolder="" count="2" memberValueDatatype="130" unbalanced="0">
      <fieldsUsage count="2">
        <fieldUsage x="-1"/>
        <fieldUsage x="0"/>
      </fieldsUsage>
    </cacheHierarchy>
    <cacheHierarchy uniqueName="[Callender_Table].[Date (Day)]" caption="Date (Day)" attribute="1" defaultMemberUniqueName="[Callender_Table].[Date (Day)].[All]" allUniqueName="[Callender_Table].[Date (Day)].[All]" dimensionUniqueName="[Callender_Table]" displayFolder="" count="0" memberValueDatatype="130" unbalanced="0"/>
    <cacheHierarchy uniqueName="[Callender_Table].[Date (Year)]" caption="Date (Year)" attribute="1" defaultMemberUniqueName="[Callender_Table].[Date (Year)].[All]" allUniqueName="[Callender_Table].[Date (Year)].[All]" dimensionUniqueName="[Callender_Table]" displayFolder="" count="2" memberValueDatatype="130" unbalanced="0">
      <fieldsUsage count="2">
        <fieldUsage x="-1"/>
        <fieldUsage x="3"/>
      </fieldsUsage>
    </cacheHierarchy>
    <cacheHierarchy uniqueName="[Callender_Table].[Date (Quarter)]" caption="Date (Quarter)" attribute="1" defaultMemberUniqueName="[Callender_Table].[Date (Quarter)].[All]" allUniqueName="[Callender_Table].[Date (Quarter)].[All]" dimensionUniqueName="[Callende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Patient name]" caption="Patient name" attribute="1" defaultMemberUniqueName="[Hospital Emergency Room Data].[Patient name].[All]" allUniqueName="[Hospital Emergency Room Data].[Patient name].[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Patient Admission Flag_1]" caption="Patient Admission Flag_1" attribute="1" defaultMemberUniqueName="[Hospital Emergency Room Data].[Patient Admission Flag_1].[All]" allUniqueName="[Hospital Emergency Room Data].[Patient Admission Flag_1].[All]" dimensionUniqueName="[Hospital Emergency Room Data]" displayFolder="" count="0" memberValueDatatype="11"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2" memberValueDatatype="130" unbalanced="0">
      <fieldsUsage count="2">
        <fieldUsage x="-1"/>
        <fieldUsage x="1"/>
      </fieldsUsage>
    </cacheHierarchy>
    <cacheHierarchy uniqueName="[Callender_Table].[Date (Day Index)]" caption="Date (Day Index)" attribute="1" defaultMemberUniqueName="[Callender_Table].[Date (Day Index)].[All]" allUniqueName="[Callender_Table].[Date (Day Index)].[All]" dimensionUniqueName="[Callender_Table]" displayFolder="" count="0" memberValueDatatype="5" unbalanced="0" hidden="1"/>
    <cacheHierarchy uniqueName="[Callender_Table].[Date (Month Index)]" caption="Date (Month Index)" attribute="1" defaultMemberUniqueName="[Callender_Table].[Date (Month Index)].[All]" allUniqueName="[Callender_Table].[Date (Month Index)].[All]" dimensionUniqueName="[Callende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lender_Table]" caption="__XL_Count Callender_Table" measure="1" displayFolder="" measureGroup="Callende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dmission Flag_1]" caption="Count of Patient Admission Flag_1"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Attend Status]" caption="Count of Patient Attend Status" measure="1" displayFolder="" measureGroup="Hospital Emergency Room Data" count="0" oneField="1" hidden="1">
      <fieldsUsage count="1">
        <fieldUsage x="2"/>
      </fieldsUsage>
      <extLst>
        <ext xmlns:x15="http://schemas.microsoft.com/office/spreadsheetml/2010/11/main" uri="{B97F6D7D-B522-45F9-BDA1-12C45D357490}">
          <x15:cacheHierarchy aggregatedColumn="18"/>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lender_Table" uniqueName="[Callender_Table]" caption="Callender_Table"/>
    <dimension name="Hospital Emergency Room Data" uniqueName="[Hospital Emergency Room Data]" caption="Hospital Emergency Room Data"/>
    <dimension measure="1" name="Measures" uniqueName="[Measures]" caption="Measures"/>
  </dimensions>
  <measureGroups count="2">
    <measureGroup name="Callender_Table" caption="Callende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it Bhatt" refreshedDate="45819.98609421296" createdVersion="5" refreshedVersion="8" minRefreshableVersion="3" recordCount="0" supportSubquery="1" supportAdvancedDrill="1" xr:uid="{D24A4B59-C52A-41F6-9807-E7C3F6D396C9}">
  <cacheSource type="external" connectionId="3"/>
  <cacheFields count="4">
    <cacheField name="[Callender_Table].[Date (Month)].[Date (Month)]" caption="Date (Month)" numFmtId="0" hierarchy="1" level="1">
      <sharedItems containsSemiMixedTypes="0" containsNonDate="0" containsString="0"/>
    </cacheField>
    <cacheField name="[Hospital Emergency Room Data].[Patient Gender].[Patient Gender]" caption="Patient Gender" numFmtId="0" hierarchy="9" level="1">
      <sharedItems count="2">
        <s v="Female"/>
        <s v="Male"/>
      </sharedItems>
    </cacheField>
    <cacheField name="[Measures].[Count of Patient Gender]" caption="Count of Patient Gender" numFmtId="0" hierarchy="34" level="32767"/>
    <cacheField name="[Callender_Table].[Date (Year)].[Date (Year)]" caption="Date (Year)" numFmtId="0" hierarchy="3" level="1">
      <sharedItems containsSemiMixedTypes="0" containsNonDate="0" containsString="0"/>
    </cacheField>
  </cacheFields>
  <cacheHierarchies count="36">
    <cacheHierarchy uniqueName="[Callender_Table].[Date]" caption="Date" attribute="1" time="1" defaultMemberUniqueName="[Callender_Table].[Date].[All]" allUniqueName="[Callender_Table].[Date].[All]" dimensionUniqueName="[Callender_Table]" displayFolder="" count="0" memberValueDatatype="7" unbalanced="0"/>
    <cacheHierarchy uniqueName="[Callender_Table].[Date (Month)]" caption="Date (Month)" attribute="1" defaultMemberUniqueName="[Callender_Table].[Date (Month)].[All]" allUniqueName="[Callender_Table].[Date (Month)].[All]" dimensionUniqueName="[Callender_Table]" displayFolder="" count="2" memberValueDatatype="130" unbalanced="0">
      <fieldsUsage count="2">
        <fieldUsage x="-1"/>
        <fieldUsage x="0"/>
      </fieldsUsage>
    </cacheHierarchy>
    <cacheHierarchy uniqueName="[Callender_Table].[Date (Day)]" caption="Date (Day)" attribute="1" defaultMemberUniqueName="[Callender_Table].[Date (Day)].[All]" allUniqueName="[Callender_Table].[Date (Day)].[All]" dimensionUniqueName="[Callender_Table]" displayFolder="" count="0" memberValueDatatype="130" unbalanced="0"/>
    <cacheHierarchy uniqueName="[Callender_Table].[Date (Year)]" caption="Date (Year)" attribute="1" defaultMemberUniqueName="[Callender_Table].[Date (Year)].[All]" allUniqueName="[Callender_Table].[Date (Year)].[All]" dimensionUniqueName="[Callender_Table]" displayFolder="" count="2" memberValueDatatype="130" unbalanced="0">
      <fieldsUsage count="2">
        <fieldUsage x="-1"/>
        <fieldUsage x="3"/>
      </fieldsUsage>
    </cacheHierarchy>
    <cacheHierarchy uniqueName="[Callender_Table].[Date (Quarter)]" caption="Date (Quarter)" attribute="1" defaultMemberUniqueName="[Callender_Table].[Date (Quarter)].[All]" allUniqueName="[Callender_Table].[Date (Quarter)].[All]" dimensionUniqueName="[Callende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Patient name]" caption="Patient name" attribute="1" defaultMemberUniqueName="[Hospital Emergency Room Data].[Patient name].[All]" allUniqueName="[Hospital Emergency Room Data].[Patient name].[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2" memberValueDatatype="130" unbalanced="0">
      <fieldsUsage count="2">
        <fieldUsage x="-1"/>
        <fieldUsage x="1"/>
      </fieldsUsage>
    </cacheHierarchy>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Patient Admission Flag_1]" caption="Patient Admission Flag_1" attribute="1" defaultMemberUniqueName="[Hospital Emergency Room Data].[Patient Admission Flag_1].[All]" allUniqueName="[Hospital Emergency Room Data].[Patient Admission Flag_1].[All]" dimensionUniqueName="[Hospital Emergency Room Data]" displayFolder="" count="0" memberValueDatatype="11"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lender_Table].[Date (Day Index)]" caption="Date (Day Index)" attribute="1" defaultMemberUniqueName="[Callender_Table].[Date (Day Index)].[All]" allUniqueName="[Callender_Table].[Date (Day Index)].[All]" dimensionUniqueName="[Callender_Table]" displayFolder="" count="0" memberValueDatatype="5" unbalanced="0" hidden="1"/>
    <cacheHierarchy uniqueName="[Callender_Table].[Date (Month Index)]" caption="Date (Month Index)" attribute="1" defaultMemberUniqueName="[Callender_Table].[Date (Month Index)].[All]" allUniqueName="[Callender_Table].[Date (Month Index)].[All]" dimensionUniqueName="[Callende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lender_Table]" caption="__XL_Count Callender_Table" measure="1" displayFolder="" measureGroup="Callende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dmission Flag_1]" caption="Count of Patient Admission Flag_1"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Attend Status]" caption="Count of Patient Attend Status" measure="1" displayFolder="" measureGroup="Hospital Emergency Room Data" count="0" hidden="1">
      <extLst>
        <ext xmlns:x15="http://schemas.microsoft.com/office/spreadsheetml/2010/11/main" uri="{B97F6D7D-B522-45F9-BDA1-12C45D357490}">
          <x15:cacheHierarchy aggregatedColumn="18"/>
        </ext>
      </extLst>
    </cacheHierarchy>
    <cacheHierarchy uniqueName="[Measures].[Count of Patient Gender]" caption="Count of Patient Gender" measure="1" displayFolder="" measureGroup="Hospital Emergency Room Data" count="0" oneField="1" hidden="1">
      <fieldsUsage count="1">
        <fieldUsage x="2"/>
      </fieldsUsage>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lender_Table" uniqueName="[Callender_Table]" caption="Callender_Table"/>
    <dimension name="Hospital Emergency Room Data" uniqueName="[Hospital Emergency Room Data]" caption="Hospital Emergency Room Data"/>
    <dimension measure="1" name="Measures" uniqueName="[Measures]" caption="Measures"/>
  </dimensions>
  <measureGroups count="2">
    <measureGroup name="Callender_Table" caption="Callende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it Bhatt" refreshedDate="45819.986095023145" createdVersion="5" refreshedVersion="8" minRefreshableVersion="3" recordCount="0" supportSubquery="1" supportAdvancedDrill="1" xr:uid="{29437ABE-DD07-4D8C-B579-442C94FF6BAA}">
  <cacheSource type="external" connectionId="3"/>
  <cacheFields count="4">
    <cacheField name="[Callender_Table].[Date (Month)].[Date (Month)]" caption="Date (Month)" numFmtId="0" hierarchy="1" level="1">
      <sharedItems containsSemiMixedTypes="0" containsNonDate="0" containsString="0"/>
    </cacheField>
    <cacheField name="[Hospital Emergency Room Data].[Department Referral].[Department Referral]" caption="Department Referral" numFmtId="0" hierarchy="12" level="1">
      <sharedItems count="8">
        <s v="Cardiology"/>
        <s v="Gastroenterology"/>
        <s v="General Practice"/>
        <s v="Neurology"/>
        <s v="None"/>
        <s v="Orthopedics"/>
        <s v="Physiotherapy"/>
        <s v="Renal"/>
      </sharedItems>
    </cacheField>
    <cacheField name="[Measures].[Count of Department Referral]" caption="Count of Department Referral" numFmtId="0" hierarchy="35" level="32767"/>
    <cacheField name="[Callender_Table].[Date (Year)].[Date (Year)]" caption="Date (Year)" numFmtId="0" hierarchy="3" level="1">
      <sharedItems containsSemiMixedTypes="0" containsNonDate="0" containsString="0"/>
    </cacheField>
  </cacheFields>
  <cacheHierarchies count="36">
    <cacheHierarchy uniqueName="[Callender_Table].[Date]" caption="Date" attribute="1" time="1" defaultMemberUniqueName="[Callender_Table].[Date].[All]" allUniqueName="[Callender_Table].[Date].[All]" dimensionUniqueName="[Callender_Table]" displayFolder="" count="0" memberValueDatatype="7" unbalanced="0"/>
    <cacheHierarchy uniqueName="[Callender_Table].[Date (Month)]" caption="Date (Month)" attribute="1" defaultMemberUniqueName="[Callender_Table].[Date (Month)].[All]" allUniqueName="[Callender_Table].[Date (Month)].[All]" dimensionUniqueName="[Callender_Table]" displayFolder="" count="2" memberValueDatatype="130" unbalanced="0">
      <fieldsUsage count="2">
        <fieldUsage x="-1"/>
        <fieldUsage x="0"/>
      </fieldsUsage>
    </cacheHierarchy>
    <cacheHierarchy uniqueName="[Callender_Table].[Date (Day)]" caption="Date (Day)" attribute="1" defaultMemberUniqueName="[Callender_Table].[Date (Day)].[All]" allUniqueName="[Callender_Table].[Date (Day)].[All]" dimensionUniqueName="[Callender_Table]" displayFolder="" count="0" memberValueDatatype="130" unbalanced="0"/>
    <cacheHierarchy uniqueName="[Callender_Table].[Date (Year)]" caption="Date (Year)" attribute="1" defaultMemberUniqueName="[Callender_Table].[Date (Year)].[All]" allUniqueName="[Callender_Table].[Date (Year)].[All]" dimensionUniqueName="[Callender_Table]" displayFolder="" count="2" memberValueDatatype="130" unbalanced="0">
      <fieldsUsage count="2">
        <fieldUsage x="-1"/>
        <fieldUsage x="3"/>
      </fieldsUsage>
    </cacheHierarchy>
    <cacheHierarchy uniqueName="[Callender_Table].[Date (Quarter)]" caption="Date (Quarter)" attribute="1" defaultMemberUniqueName="[Callender_Table].[Date (Quarter)].[All]" allUniqueName="[Callender_Table].[Date (Quarter)].[All]" dimensionUniqueName="[Callende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Patient name]" caption="Patient name" attribute="1" defaultMemberUniqueName="[Hospital Emergency Room Data].[Patient name].[All]" allUniqueName="[Hospital Emergency Room Data].[Patient name].[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2" memberValueDatatype="130" unbalanced="0">
      <fieldsUsage count="2">
        <fieldUsage x="-1"/>
        <fieldUsage x="1"/>
      </fieldsUsage>
    </cacheHierarchy>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Patient Admission Flag_1]" caption="Patient Admission Flag_1" attribute="1" defaultMemberUniqueName="[Hospital Emergency Room Data].[Patient Admission Flag_1].[All]" allUniqueName="[Hospital Emergency Room Data].[Patient Admission Flag_1].[All]" dimensionUniqueName="[Hospital Emergency Room Data]" displayFolder="" count="0" memberValueDatatype="11"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lender_Table].[Date (Day Index)]" caption="Date (Day Index)" attribute="1" defaultMemberUniqueName="[Callender_Table].[Date (Day Index)].[All]" allUniqueName="[Callender_Table].[Date (Day Index)].[All]" dimensionUniqueName="[Callender_Table]" displayFolder="" count="0" memberValueDatatype="5" unbalanced="0" hidden="1"/>
    <cacheHierarchy uniqueName="[Callender_Table].[Date (Month Index)]" caption="Date (Month Index)" attribute="1" defaultMemberUniqueName="[Callender_Table].[Date (Month Index)].[All]" allUniqueName="[Callender_Table].[Date (Month Index)].[All]" dimensionUniqueName="[Callende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lender_Table]" caption="__XL_Count Callender_Table" measure="1" displayFolder="" measureGroup="Callende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dmission Flag_1]" caption="Count of Patient Admission Flag_1"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Attend Status]" caption="Count of Patient Attend Status" measure="1" displayFolder="" measureGroup="Hospital Emergency Room Data" count="0" hidden="1">
      <extLst>
        <ext xmlns:x15="http://schemas.microsoft.com/office/spreadsheetml/2010/11/main" uri="{B97F6D7D-B522-45F9-BDA1-12C45D357490}">
          <x15:cacheHierarchy aggregatedColumn="18"/>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oneField="1" hidden="1">
      <fieldsUsage count="1">
        <fieldUsage x="2"/>
      </fieldsUsage>
      <extLst>
        <ext xmlns:x15="http://schemas.microsoft.com/office/spreadsheetml/2010/11/main" uri="{B97F6D7D-B522-45F9-BDA1-12C45D357490}">
          <x15:cacheHierarchy aggregatedColumn="12"/>
        </ext>
      </extLst>
    </cacheHierarchy>
  </cacheHierarchies>
  <kpis count="0"/>
  <dimensions count="3">
    <dimension name="Callender_Table" uniqueName="[Callender_Table]" caption="Callender_Table"/>
    <dimension name="Hospital Emergency Room Data" uniqueName="[Hospital Emergency Room Data]" caption="Hospital Emergency Room Data"/>
    <dimension measure="1" name="Measures" uniqueName="[Measures]" caption="Measures"/>
  </dimensions>
  <measureGroups count="2">
    <measureGroup name="Callender_Table" caption="Callende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it Bhatt" refreshedDate="45819.986095486114" createdVersion="5" refreshedVersion="8" minRefreshableVersion="3" recordCount="0" supportSubquery="1" supportAdvancedDrill="1" xr:uid="{7E5050F6-6C8A-4526-B986-48653BFC34C6}">
  <cacheSource type="external" connectionId="3"/>
  <cacheFields count="3">
    <cacheField name="[Measures].[Average of Patient Waittime]" caption="Average of Patient Waittime" numFmtId="0" hierarchy="27" level="32767"/>
    <cacheField name="[Callender_Table].[Date (Month)].[Date (Month)]" caption="Date (Month)" numFmtId="0" hierarchy="1" level="1">
      <sharedItems containsSemiMixedTypes="0" containsNonDate="0" containsString="0"/>
    </cacheField>
    <cacheField name="[Callender_Table].[Date (Year)].[Date (Year)]" caption="Date (Year)" numFmtId="0" hierarchy="3" level="1">
      <sharedItems containsSemiMixedTypes="0" containsNonDate="0" containsString="0"/>
    </cacheField>
  </cacheFields>
  <cacheHierarchies count="36">
    <cacheHierarchy uniqueName="[Callender_Table].[Date]" caption="Date" attribute="1" time="1" defaultMemberUniqueName="[Callender_Table].[Date].[All]" allUniqueName="[Callender_Table].[Date].[All]" dimensionUniqueName="[Callender_Table]" displayFolder="" count="0" memberValueDatatype="7" unbalanced="0"/>
    <cacheHierarchy uniqueName="[Callender_Table].[Date (Month)]" caption="Date (Month)" attribute="1" defaultMemberUniqueName="[Callender_Table].[Date (Month)].[All]" allUniqueName="[Callender_Table].[Date (Month)].[All]" dimensionUniqueName="[Callender_Table]" displayFolder="" count="2" memberValueDatatype="130" unbalanced="0">
      <fieldsUsage count="2">
        <fieldUsage x="-1"/>
        <fieldUsage x="1"/>
      </fieldsUsage>
    </cacheHierarchy>
    <cacheHierarchy uniqueName="[Callender_Table].[Date (Day)]" caption="Date (Day)" attribute="1" defaultMemberUniqueName="[Callender_Table].[Date (Day)].[All]" allUniqueName="[Callender_Table].[Date (Day)].[All]" dimensionUniqueName="[Callender_Table]" displayFolder="" count="0" memberValueDatatype="130" unbalanced="0"/>
    <cacheHierarchy uniqueName="[Callender_Table].[Date (Year)]" caption="Date (Year)" attribute="1" defaultMemberUniqueName="[Callender_Table].[Date (Year)].[All]" allUniqueName="[Callender_Table].[Date (Year)].[All]" dimensionUniqueName="[Callender_Table]" displayFolder="" count="2" memberValueDatatype="130" unbalanced="0">
      <fieldsUsage count="2">
        <fieldUsage x="-1"/>
        <fieldUsage x="2"/>
      </fieldsUsage>
    </cacheHierarchy>
    <cacheHierarchy uniqueName="[Callender_Table].[Date (Quarter)]" caption="Date (Quarter)" attribute="1" defaultMemberUniqueName="[Callender_Table].[Date (Quarter)].[All]" allUniqueName="[Callender_Table].[Date (Quarter)].[All]" dimensionUniqueName="[Callende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Patient name]" caption="Patient name" attribute="1" defaultMemberUniqueName="[Hospital Emergency Room Data].[Patient name].[All]" allUniqueName="[Hospital Emergency Room Data].[Patient name].[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Patient Admission Flag_1]" caption="Patient Admission Flag_1" attribute="1" defaultMemberUniqueName="[Hospital Emergency Room Data].[Patient Admission Flag_1].[All]" allUniqueName="[Hospital Emergency Room Data].[Patient Admission Flag_1].[All]" dimensionUniqueName="[Hospital Emergency Room Data]" displayFolder="" count="0" memberValueDatatype="11"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lender_Table].[Date (Day Index)]" caption="Date (Day Index)" attribute="1" defaultMemberUniqueName="[Callender_Table].[Date (Day Index)].[All]" allUniqueName="[Callender_Table].[Date (Day Index)].[All]" dimensionUniqueName="[Callender_Table]" displayFolder="" count="0" memberValueDatatype="5" unbalanced="0" hidden="1"/>
    <cacheHierarchy uniqueName="[Callender_Table].[Date (Month Index)]" caption="Date (Month Index)" attribute="1" defaultMemberUniqueName="[Callender_Table].[Date (Month Index)].[All]" allUniqueName="[Callender_Table].[Date (Month Index)].[All]" dimensionUniqueName="[Callende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lender_Table]" caption="__XL_Count Callender_Table" measure="1" displayFolder="" measureGroup="Callende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oneField="1" hidden="1">
      <fieldsUsage count="1">
        <fieldUsage x="0"/>
      </fieldsUsage>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dmission Flag_1]" caption="Count of Patient Admission Flag_1"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Attend Status]" caption="Count of Patient Attend Status" measure="1" displayFolder="" measureGroup="Hospital Emergency Room Data" count="0" hidden="1">
      <extLst>
        <ext xmlns:x15="http://schemas.microsoft.com/office/spreadsheetml/2010/11/main" uri="{B97F6D7D-B522-45F9-BDA1-12C45D357490}">
          <x15:cacheHierarchy aggregatedColumn="18"/>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lender_Table" uniqueName="[Callender_Table]" caption="Callender_Table"/>
    <dimension name="Hospital Emergency Room Data" uniqueName="[Hospital Emergency Room Data]" caption="Hospital Emergency Room Data"/>
    <dimension measure="1" name="Measures" uniqueName="[Measures]" caption="Measures"/>
  </dimensions>
  <measureGroups count="2">
    <measureGroup name="Callender_Table" caption="Callende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it Bhatt" refreshedDate="45819.9860974537" createdVersion="5" refreshedVersion="8" minRefreshableVersion="3" recordCount="0" supportSubquery="1" supportAdvancedDrill="1" xr:uid="{5B2B58D4-3729-4F54-922B-A246F483FBB8}">
  <cacheSource type="external" connectionId="3"/>
  <cacheFields count="3">
    <cacheField name="[Measures].[Average of Patient Satisfaction Score]" caption="Average of Patient Satisfaction Score" numFmtId="0" hierarchy="29" level="32767"/>
    <cacheField name="[Callender_Table].[Date (Month)].[Date (Month)]" caption="Date (Month)" numFmtId="0" hierarchy="1" level="1">
      <sharedItems containsSemiMixedTypes="0" containsNonDate="0" containsString="0"/>
    </cacheField>
    <cacheField name="[Callender_Table].[Date (Year)].[Date (Year)]" caption="Date (Year)" numFmtId="0" hierarchy="3" level="1">
      <sharedItems containsSemiMixedTypes="0" containsNonDate="0" containsString="0"/>
    </cacheField>
  </cacheFields>
  <cacheHierarchies count="36">
    <cacheHierarchy uniqueName="[Callender_Table].[Date]" caption="Date" attribute="1" time="1" defaultMemberUniqueName="[Callender_Table].[Date].[All]" allUniqueName="[Callender_Table].[Date].[All]" dimensionUniqueName="[Callender_Table]" displayFolder="" count="0" memberValueDatatype="7" unbalanced="0"/>
    <cacheHierarchy uniqueName="[Callender_Table].[Date (Month)]" caption="Date (Month)" attribute="1" defaultMemberUniqueName="[Callender_Table].[Date (Month)].[All]" allUniqueName="[Callender_Table].[Date (Month)].[All]" dimensionUniqueName="[Callender_Table]" displayFolder="" count="2" memberValueDatatype="130" unbalanced="0">
      <fieldsUsage count="2">
        <fieldUsage x="-1"/>
        <fieldUsage x="1"/>
      </fieldsUsage>
    </cacheHierarchy>
    <cacheHierarchy uniqueName="[Callender_Table].[Date (Day)]" caption="Date (Day)" attribute="1" defaultMemberUniqueName="[Callender_Table].[Date (Day)].[All]" allUniqueName="[Callender_Table].[Date (Day)].[All]" dimensionUniqueName="[Callender_Table]" displayFolder="" count="0" memberValueDatatype="130" unbalanced="0"/>
    <cacheHierarchy uniqueName="[Callender_Table].[Date (Year)]" caption="Date (Year)" attribute="1" defaultMemberUniqueName="[Callender_Table].[Date (Year)].[All]" allUniqueName="[Callender_Table].[Date (Year)].[All]" dimensionUniqueName="[Callender_Table]" displayFolder="" count="2" memberValueDatatype="130" unbalanced="0">
      <fieldsUsage count="2">
        <fieldUsage x="-1"/>
        <fieldUsage x="2"/>
      </fieldsUsage>
    </cacheHierarchy>
    <cacheHierarchy uniqueName="[Callender_Table].[Date (Quarter)]" caption="Date (Quarter)" attribute="1" defaultMemberUniqueName="[Callender_Table].[Date (Quarter)].[All]" allUniqueName="[Callender_Table].[Date (Quarter)].[All]" dimensionUniqueName="[Callende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Patient name]" caption="Patient name" attribute="1" defaultMemberUniqueName="[Hospital Emergency Room Data].[Patient name].[All]" allUniqueName="[Hospital Emergency Room Data].[Patient name].[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Patient Admission Flag_1]" caption="Patient Admission Flag_1" attribute="1" defaultMemberUniqueName="[Hospital Emergency Room Data].[Patient Admission Flag_1].[All]" allUniqueName="[Hospital Emergency Room Data].[Patient Admission Flag_1].[All]" dimensionUniqueName="[Hospital Emergency Room Data]" displayFolder="" count="0" memberValueDatatype="11"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lender_Table].[Date (Day Index)]" caption="Date (Day Index)" attribute="1" defaultMemberUniqueName="[Callender_Table].[Date (Day Index)].[All]" allUniqueName="[Callender_Table].[Date (Day Index)].[All]" dimensionUniqueName="[Callender_Table]" displayFolder="" count="0" memberValueDatatype="5" unbalanced="0" hidden="1"/>
    <cacheHierarchy uniqueName="[Callender_Table].[Date (Month Index)]" caption="Date (Month Index)" attribute="1" defaultMemberUniqueName="[Callender_Table].[Date (Month Index)].[All]" allUniqueName="[Callender_Table].[Date (Month Index)].[All]" dimensionUniqueName="[Callende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lender_Table]" caption="__XL_Count Callender_Table" measure="1" displayFolder="" measureGroup="Callende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oneField="1" hidden="1">
      <fieldsUsage count="1">
        <fieldUsage x="0"/>
      </fieldsUsage>
      <extLst>
        <ext xmlns:x15="http://schemas.microsoft.com/office/spreadsheetml/2010/11/main" uri="{B97F6D7D-B522-45F9-BDA1-12C45D357490}">
          <x15:cacheHierarchy aggregatedColumn="14"/>
        </ext>
      </extLst>
    </cacheHierarchy>
    <cacheHierarchy uniqueName="[Measures].[Count of Patient Admission Flag_1]" caption="Count of Patient Admission Flag_1"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Attend Status]" caption="Count of Patient Attend Status" measure="1" displayFolder="" measureGroup="Hospital Emergency Room Data" count="0" hidden="1">
      <extLst>
        <ext xmlns:x15="http://schemas.microsoft.com/office/spreadsheetml/2010/11/main" uri="{B97F6D7D-B522-45F9-BDA1-12C45D357490}">
          <x15:cacheHierarchy aggregatedColumn="18"/>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lender_Table" uniqueName="[Callender_Table]" caption="Callender_Table"/>
    <dimension name="Hospital Emergency Room Data" uniqueName="[Hospital Emergency Room Data]" caption="Hospital Emergency Room Data"/>
    <dimension measure="1" name="Measures" uniqueName="[Measures]" caption="Measures"/>
  </dimensions>
  <measureGroups count="2">
    <measureGroup name="Callender_Table" caption="Callende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it Bhatt" refreshedDate="45819.986099305555" createdVersion="5" refreshedVersion="8" minRefreshableVersion="3" recordCount="0" supportSubquery="1" supportAdvancedDrill="1" xr:uid="{16BD6F22-0BB8-4935-90FE-F0ED5B064E15}">
  <cacheSource type="external" connectionId="3"/>
  <cacheFields count="4">
    <cacheField name="[Measures].[Distinct Count of Patient Id]" caption="Distinct Count of Patient Id" numFmtId="0" hierarchy="25" level="32767"/>
    <cacheField name="[Callender_Table].[Date (Day)].[Date (Day)]" caption="Date (Day)" numFmtId="0" hierarchy="2" level="1">
      <sharedItems count="30">
        <s v="1-Jun"/>
        <s v="2-Jun"/>
        <s v="3-Jun"/>
        <s v="4-Jun"/>
        <s v="5-Jun"/>
        <s v="6-Jun"/>
        <s v="7-Jun"/>
        <s v="8-Jun"/>
        <s v="9-Jun"/>
        <s v="10-Jun"/>
        <s v="11-Jun"/>
        <s v="12-Jun"/>
        <s v="13-Jun"/>
        <s v="14-Jun"/>
        <s v="15-Jun"/>
        <s v="16-Jun"/>
        <s v="17-Jun"/>
        <s v="18-Jun"/>
        <s v="19-Jun"/>
        <s v="20-Jun"/>
        <s v="21-Jun"/>
        <s v="22-Jun"/>
        <s v="23-Jun"/>
        <s v="24-Jun"/>
        <s v="25-Jun"/>
        <s v="26-Jun"/>
        <s v="27-Jun"/>
        <s v="28-Jun"/>
        <s v="29-Jun"/>
        <s v="30-Jun"/>
      </sharedItems>
    </cacheField>
    <cacheField name="[Callender_Table].[Date (Month)].[Date (Month)]" caption="Date (Month)" numFmtId="0" hierarchy="1" level="1">
      <sharedItems containsSemiMixedTypes="0" containsNonDate="0" containsString="0"/>
    </cacheField>
    <cacheField name="[Callender_Table].[Date (Year)].[Date (Year)]" caption="Date (Year)" numFmtId="0" hierarchy="3" level="1">
      <sharedItems containsSemiMixedTypes="0" containsNonDate="0" containsString="0"/>
    </cacheField>
  </cacheFields>
  <cacheHierarchies count="36">
    <cacheHierarchy uniqueName="[Callender_Table].[Date]" caption="Date" attribute="1" time="1" defaultMemberUniqueName="[Callender_Table].[Date].[All]" allUniqueName="[Callender_Table].[Date].[All]" dimensionUniqueName="[Callender_Table]" displayFolder="" count="0" memberValueDatatype="7" unbalanced="0"/>
    <cacheHierarchy uniqueName="[Callender_Table].[Date (Month)]" caption="Date (Month)" attribute="1" defaultMemberUniqueName="[Callender_Table].[Date (Month)].[All]" allUniqueName="[Callender_Table].[Date (Month)].[All]" dimensionUniqueName="[Callender_Table]" displayFolder="" count="2" memberValueDatatype="130" unbalanced="0">
      <fieldsUsage count="2">
        <fieldUsage x="-1"/>
        <fieldUsage x="2"/>
      </fieldsUsage>
    </cacheHierarchy>
    <cacheHierarchy uniqueName="[Callender_Table].[Date (Day)]" caption="Date (Day)" attribute="1" defaultMemberUniqueName="[Callender_Table].[Date (Day)].[All]" allUniqueName="[Callender_Table].[Date (Day)].[All]" dimensionUniqueName="[Callender_Table]" displayFolder="" count="2" memberValueDatatype="130" unbalanced="0">
      <fieldsUsage count="2">
        <fieldUsage x="-1"/>
        <fieldUsage x="1"/>
      </fieldsUsage>
    </cacheHierarchy>
    <cacheHierarchy uniqueName="[Callender_Table].[Date (Year)]" caption="Date (Year)" attribute="1" defaultMemberUniqueName="[Callender_Table].[Date (Year)].[All]" allUniqueName="[Callender_Table].[Date (Year)].[All]" dimensionUniqueName="[Callender_Table]" displayFolder="" count="2" memberValueDatatype="130" unbalanced="0">
      <fieldsUsage count="2">
        <fieldUsage x="-1"/>
        <fieldUsage x="3"/>
      </fieldsUsage>
    </cacheHierarchy>
    <cacheHierarchy uniqueName="[Callender_Table].[Date (Quarter)]" caption="Date (Quarter)" attribute="1" defaultMemberUniqueName="[Callender_Table].[Date (Quarter)].[All]" allUniqueName="[Callender_Table].[Date (Quarter)].[All]" dimensionUniqueName="[Callende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Patient name]" caption="Patient name" attribute="1" defaultMemberUniqueName="[Hospital Emergency Room Data].[Patient name].[All]" allUniqueName="[Hospital Emergency Room Data].[Patient name].[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Patient Admission Flag_1]" caption="Patient Admission Flag_1" attribute="1" defaultMemberUniqueName="[Hospital Emergency Room Data].[Patient Admission Flag_1].[All]" allUniqueName="[Hospital Emergency Room Data].[Patient Admission Flag_1].[All]" dimensionUniqueName="[Hospital Emergency Room Data]" displayFolder="" count="0" memberValueDatatype="11"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lender_Table].[Date (Day Index)]" caption="Date (Day Index)" attribute="1" defaultMemberUniqueName="[Callender_Table].[Date (Day Index)].[All]" allUniqueName="[Callender_Table].[Date (Day Index)].[All]" dimensionUniqueName="[Callender_Table]" displayFolder="" count="0" memberValueDatatype="5" unbalanced="0" hidden="1"/>
    <cacheHierarchy uniqueName="[Callender_Table].[Date (Month Index)]" caption="Date (Month Index)" attribute="1" defaultMemberUniqueName="[Callender_Table].[Date (Month Index)].[All]" allUniqueName="[Callender_Table].[Date (Month Index)].[All]" dimensionUniqueName="[Callende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lender_Table]" caption="__XL_Count Callender_Table" measure="1" displayFolder="" measureGroup="Callende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oneField="1" hidden="1">
      <fieldsUsage count="1">
        <fieldUsage x="0"/>
      </fieldsUsage>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dmission Flag_1]" caption="Count of Patient Admission Flag_1"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Attend Status]" caption="Count of Patient Attend Status" measure="1" displayFolder="" measureGroup="Hospital Emergency Room Data" count="0" hidden="1">
      <extLst>
        <ext xmlns:x15="http://schemas.microsoft.com/office/spreadsheetml/2010/11/main" uri="{B97F6D7D-B522-45F9-BDA1-12C45D357490}">
          <x15:cacheHierarchy aggregatedColumn="18"/>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lender_Table" uniqueName="[Callender_Table]" caption="Callender_Table"/>
    <dimension name="Hospital Emergency Room Data" uniqueName="[Hospital Emergency Room Data]" caption="Hospital Emergency Room Data"/>
    <dimension measure="1" name="Measures" uniqueName="[Measures]" caption="Measures"/>
  </dimensions>
  <measureGroups count="2">
    <measureGroup name="Callender_Table" caption="Callende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it Bhatt" refreshedDate="45819.986101504626" createdVersion="5" refreshedVersion="8" minRefreshableVersion="3" recordCount="0" supportSubquery="1" supportAdvancedDrill="1" xr:uid="{29ABFEBD-E293-4236-912E-95ECDE8A7338}">
  <cacheSource type="external" connectionId="3"/>
  <cacheFields count="4">
    <cacheField name="[Callender_Table].[Date (Day)].[Date (Day)]" caption="Date (Day)" numFmtId="0" hierarchy="2" level="1">
      <sharedItems count="30">
        <s v="1-Jun"/>
        <s v="2-Jun"/>
        <s v="3-Jun"/>
        <s v="4-Jun"/>
        <s v="5-Jun"/>
        <s v="6-Jun"/>
        <s v="7-Jun"/>
        <s v="8-Jun"/>
        <s v="9-Jun"/>
        <s v="10-Jun"/>
        <s v="11-Jun"/>
        <s v="12-Jun"/>
        <s v="13-Jun"/>
        <s v="14-Jun"/>
        <s v="15-Jun"/>
        <s v="16-Jun"/>
        <s v="17-Jun"/>
        <s v="18-Jun"/>
        <s v="19-Jun"/>
        <s v="20-Jun"/>
        <s v="21-Jun"/>
        <s v="22-Jun"/>
        <s v="23-Jun"/>
        <s v="24-Jun"/>
        <s v="25-Jun"/>
        <s v="26-Jun"/>
        <s v="27-Jun"/>
        <s v="28-Jun"/>
        <s v="29-Jun"/>
        <s v="30-Jun"/>
      </sharedItems>
    </cacheField>
    <cacheField name="[Callender_Table].[Date (Month)].[Date (Month)]" caption="Date (Month)" numFmtId="0" hierarchy="1" level="1">
      <sharedItems containsSemiMixedTypes="0" containsNonDate="0" containsString="0"/>
    </cacheField>
    <cacheField name="[Measures].[Average of Patient Waittime]" caption="Average of Patient Waittime" numFmtId="0" hierarchy="27" level="32767"/>
    <cacheField name="[Callender_Table].[Date (Year)].[Date (Year)]" caption="Date (Year)" numFmtId="0" hierarchy="3" level="1">
      <sharedItems containsSemiMixedTypes="0" containsNonDate="0" containsString="0"/>
    </cacheField>
  </cacheFields>
  <cacheHierarchies count="36">
    <cacheHierarchy uniqueName="[Callender_Table].[Date]" caption="Date" attribute="1" time="1" defaultMemberUniqueName="[Callender_Table].[Date].[All]" allUniqueName="[Callender_Table].[Date].[All]" dimensionUniqueName="[Callender_Table]" displayFolder="" count="0" memberValueDatatype="7" unbalanced="0"/>
    <cacheHierarchy uniqueName="[Callender_Table].[Date (Month)]" caption="Date (Month)" attribute="1" defaultMemberUniqueName="[Callender_Table].[Date (Month)].[All]" allUniqueName="[Callender_Table].[Date (Month)].[All]" dimensionUniqueName="[Callender_Table]" displayFolder="" count="2" memberValueDatatype="130" unbalanced="0">
      <fieldsUsage count="2">
        <fieldUsage x="-1"/>
        <fieldUsage x="1"/>
      </fieldsUsage>
    </cacheHierarchy>
    <cacheHierarchy uniqueName="[Callender_Table].[Date (Day)]" caption="Date (Day)" attribute="1" defaultMemberUniqueName="[Callender_Table].[Date (Day)].[All]" allUniqueName="[Callender_Table].[Date (Day)].[All]" dimensionUniqueName="[Callender_Table]" displayFolder="" count="2" memberValueDatatype="130" unbalanced="0">
      <fieldsUsage count="2">
        <fieldUsage x="-1"/>
        <fieldUsage x="0"/>
      </fieldsUsage>
    </cacheHierarchy>
    <cacheHierarchy uniqueName="[Callender_Table].[Date (Year)]" caption="Date (Year)" attribute="1" defaultMemberUniqueName="[Callender_Table].[Date (Year)].[All]" allUniqueName="[Callender_Table].[Date (Year)].[All]" dimensionUniqueName="[Callender_Table]" displayFolder="" count="2" memberValueDatatype="130" unbalanced="0">
      <fieldsUsage count="2">
        <fieldUsage x="-1"/>
        <fieldUsage x="3"/>
      </fieldsUsage>
    </cacheHierarchy>
    <cacheHierarchy uniqueName="[Callender_Table].[Date (Quarter)]" caption="Date (Quarter)" attribute="1" defaultMemberUniqueName="[Callender_Table].[Date (Quarter)].[All]" allUniqueName="[Callender_Table].[Date (Quarter)].[All]" dimensionUniqueName="[Callende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Patient name]" caption="Patient name" attribute="1" defaultMemberUniqueName="[Hospital Emergency Room Data].[Patient name].[All]" allUniqueName="[Hospital Emergency Room Data].[Patient name].[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Patient Admission Flag_1]" caption="Patient Admission Flag_1" attribute="1" defaultMemberUniqueName="[Hospital Emergency Room Data].[Patient Admission Flag_1].[All]" allUniqueName="[Hospital Emergency Room Data].[Patient Admission Flag_1].[All]" dimensionUniqueName="[Hospital Emergency Room Data]" displayFolder="" count="0" memberValueDatatype="11"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lender_Table].[Date (Day Index)]" caption="Date (Day Index)" attribute="1" defaultMemberUniqueName="[Callender_Table].[Date (Day Index)].[All]" allUniqueName="[Callender_Table].[Date (Day Index)].[All]" dimensionUniqueName="[Callender_Table]" displayFolder="" count="0" memberValueDatatype="5" unbalanced="0" hidden="1"/>
    <cacheHierarchy uniqueName="[Callender_Table].[Date (Month Index)]" caption="Date (Month Index)" attribute="1" defaultMemberUniqueName="[Callender_Table].[Date (Month Index)].[All]" allUniqueName="[Callender_Table].[Date (Month Index)].[All]" dimensionUniqueName="[Callende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lender_Table]" caption="__XL_Count Callender_Table" measure="1" displayFolder="" measureGroup="Callende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oneField="1" hidden="1">
      <fieldsUsage count="1">
        <fieldUsage x="2"/>
      </fieldsUsage>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dmission Flag_1]" caption="Count of Patient Admission Flag_1"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Attend Status]" caption="Count of Patient Attend Status" measure="1" displayFolder="" measureGroup="Hospital Emergency Room Data" count="0" hidden="1">
      <extLst>
        <ext xmlns:x15="http://schemas.microsoft.com/office/spreadsheetml/2010/11/main" uri="{B97F6D7D-B522-45F9-BDA1-12C45D357490}">
          <x15:cacheHierarchy aggregatedColumn="18"/>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lender_Table" uniqueName="[Callender_Table]" caption="Callender_Table"/>
    <dimension name="Hospital Emergency Room Data" uniqueName="[Hospital Emergency Room Data]" caption="Hospital Emergency Room Data"/>
    <dimension measure="1" name="Measures" uniqueName="[Measures]" caption="Measures"/>
  </dimensions>
  <measureGroups count="2">
    <measureGroup name="Callender_Table" caption="Callende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it Bhatt" refreshedDate="45819.986104166666" createdVersion="5" refreshedVersion="8" minRefreshableVersion="3" recordCount="0" supportSubquery="1" supportAdvancedDrill="1" xr:uid="{807EEF0D-5A10-462E-8F0C-F37E9E69A4AF}">
  <cacheSource type="external" connectionId="3"/>
  <cacheFields count="4">
    <cacheField name="[Callender_Table].[Date (Day)].[Date (Day)]" caption="Date (Day)" numFmtId="0" hierarchy="2" level="1">
      <sharedItems count="30">
        <s v="1-Jun"/>
        <s v="2-Jun"/>
        <s v="3-Jun"/>
        <s v="4-Jun"/>
        <s v="5-Jun"/>
        <s v="6-Jun"/>
        <s v="7-Jun"/>
        <s v="8-Jun"/>
        <s v="9-Jun"/>
        <s v="10-Jun"/>
        <s v="11-Jun"/>
        <s v="12-Jun"/>
        <s v="13-Jun"/>
        <s v="14-Jun"/>
        <s v="15-Jun"/>
        <s v="16-Jun"/>
        <s v="17-Jun"/>
        <s v="18-Jun"/>
        <s v="19-Jun"/>
        <s v="20-Jun"/>
        <s v="21-Jun"/>
        <s v="22-Jun"/>
        <s v="23-Jun"/>
        <s v="24-Jun"/>
        <s v="25-Jun"/>
        <s v="26-Jun"/>
        <s v="27-Jun"/>
        <s v="28-Jun"/>
        <s v="29-Jun"/>
        <s v="30-Jun"/>
      </sharedItems>
    </cacheField>
    <cacheField name="[Callender_Table].[Date (Month)].[Date (Month)]" caption="Date (Month)" numFmtId="0" hierarchy="1" level="1">
      <sharedItems containsSemiMixedTypes="0" containsNonDate="0" containsString="0"/>
    </cacheField>
    <cacheField name="[Measures].[Average of Patient Satisfaction Score]" caption="Average of Patient Satisfaction Score" numFmtId="0" hierarchy="29" level="32767"/>
    <cacheField name="[Callender_Table].[Date (Year)].[Date (Year)]" caption="Date (Year)" numFmtId="0" hierarchy="3" level="1">
      <sharedItems containsSemiMixedTypes="0" containsNonDate="0" containsString="0"/>
    </cacheField>
  </cacheFields>
  <cacheHierarchies count="36">
    <cacheHierarchy uniqueName="[Callender_Table].[Date]" caption="Date" attribute="1" time="1" defaultMemberUniqueName="[Callender_Table].[Date].[All]" allUniqueName="[Callender_Table].[Date].[All]" dimensionUniqueName="[Callender_Table]" displayFolder="" count="0" memberValueDatatype="7" unbalanced="0"/>
    <cacheHierarchy uniqueName="[Callender_Table].[Date (Month)]" caption="Date (Month)" attribute="1" defaultMemberUniqueName="[Callender_Table].[Date (Month)].[All]" allUniqueName="[Callender_Table].[Date (Month)].[All]" dimensionUniqueName="[Callender_Table]" displayFolder="" count="2" memberValueDatatype="130" unbalanced="0">
      <fieldsUsage count="2">
        <fieldUsage x="-1"/>
        <fieldUsage x="1"/>
      </fieldsUsage>
    </cacheHierarchy>
    <cacheHierarchy uniqueName="[Callender_Table].[Date (Day)]" caption="Date (Day)" attribute="1" defaultMemberUniqueName="[Callender_Table].[Date (Day)].[All]" allUniqueName="[Callender_Table].[Date (Day)].[All]" dimensionUniqueName="[Callender_Table]" displayFolder="" count="2" memberValueDatatype="130" unbalanced="0">
      <fieldsUsage count="2">
        <fieldUsage x="-1"/>
        <fieldUsage x="0"/>
      </fieldsUsage>
    </cacheHierarchy>
    <cacheHierarchy uniqueName="[Callender_Table].[Date (Year)]" caption="Date (Year)" attribute="1" defaultMemberUniqueName="[Callender_Table].[Date (Year)].[All]" allUniqueName="[Callender_Table].[Date (Year)].[All]" dimensionUniqueName="[Callender_Table]" displayFolder="" count="2" memberValueDatatype="130" unbalanced="0">
      <fieldsUsage count="2">
        <fieldUsage x="-1"/>
        <fieldUsage x="3"/>
      </fieldsUsage>
    </cacheHierarchy>
    <cacheHierarchy uniqueName="[Callender_Table].[Date (Quarter)]" caption="Date (Quarter)" attribute="1" defaultMemberUniqueName="[Callender_Table].[Date (Quarter)].[All]" allUniqueName="[Callender_Table].[Date (Quarter)].[All]" dimensionUniqueName="[Callende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Patient name]" caption="Patient name" attribute="1" defaultMemberUniqueName="[Hospital Emergency Room Data].[Patient name].[All]" allUniqueName="[Hospital Emergency Room Data].[Patient name].[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Patient Admission Flag_1]" caption="Patient Admission Flag_1" attribute="1" defaultMemberUniqueName="[Hospital Emergency Room Data].[Patient Admission Flag_1].[All]" allUniqueName="[Hospital Emergency Room Data].[Patient Admission Flag_1].[All]" dimensionUniqueName="[Hospital Emergency Room Data]" displayFolder="" count="0" memberValueDatatype="11"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lender_Table].[Date (Day Index)]" caption="Date (Day Index)" attribute="1" defaultMemberUniqueName="[Callender_Table].[Date (Day Index)].[All]" allUniqueName="[Callender_Table].[Date (Day Index)].[All]" dimensionUniqueName="[Callender_Table]" displayFolder="" count="0" memberValueDatatype="5" unbalanced="0" hidden="1"/>
    <cacheHierarchy uniqueName="[Callender_Table].[Date (Month Index)]" caption="Date (Month Index)" attribute="1" defaultMemberUniqueName="[Callender_Table].[Date (Month Index)].[All]" allUniqueName="[Callender_Table].[Date (Month Index)].[All]" dimensionUniqueName="[Callende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lender_Table]" caption="__XL_Count Callender_Table" measure="1" displayFolder="" measureGroup="Callende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oneField="1" hidden="1">
      <fieldsUsage count="1">
        <fieldUsage x="2"/>
      </fieldsUsage>
      <extLst>
        <ext xmlns:x15="http://schemas.microsoft.com/office/spreadsheetml/2010/11/main" uri="{B97F6D7D-B522-45F9-BDA1-12C45D357490}">
          <x15:cacheHierarchy aggregatedColumn="14"/>
        </ext>
      </extLst>
    </cacheHierarchy>
    <cacheHierarchy uniqueName="[Measures].[Count of Patient Admission Flag_1]" caption="Count of Patient Admission Flag_1"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Attend Status]" caption="Count of Patient Attend Status" measure="1" displayFolder="" measureGroup="Hospital Emergency Room Data" count="0" hidden="1">
      <extLst>
        <ext xmlns:x15="http://schemas.microsoft.com/office/spreadsheetml/2010/11/main" uri="{B97F6D7D-B522-45F9-BDA1-12C45D357490}">
          <x15:cacheHierarchy aggregatedColumn="18"/>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lender_Table" uniqueName="[Callender_Table]" caption="Callender_Table"/>
    <dimension name="Hospital Emergency Room Data" uniqueName="[Hospital Emergency Room Data]" caption="Hospital Emergency Room Data"/>
    <dimension measure="1" name="Measures" uniqueName="[Measures]" caption="Measures"/>
  </dimensions>
  <measureGroups count="2">
    <measureGroup name="Callender_Table" caption="Callende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it Bhatt" refreshedDate="45819.98610613426" createdVersion="5" refreshedVersion="8" minRefreshableVersion="3" recordCount="0" supportSubquery="1" supportAdvancedDrill="1" xr:uid="{CC1AA119-C334-4D1B-93EB-4FD81EF7362E}">
  <cacheSource type="external" connectionId="3"/>
  <cacheFields count="5">
    <cacheField name="[Callender_Table].[Date (Month)].[Date (Month)]" caption="Date (Month)" numFmtId="0" hierarchy="1" level="1">
      <sharedItems containsSemiMixedTypes="0" containsNonDate="0" containsString="0"/>
    </cacheField>
    <cacheField name="[Hospital Emergency Room Data].[Patient Admission Flag].[Patient Admission Flag]" caption="Patient Admission Flag" numFmtId="0" hierarchy="13" level="1">
      <sharedItems count="2">
        <s v="Admitted"/>
        <s v="Not Admitted"/>
      </sharedItems>
    </cacheField>
    <cacheField name="[Measures].[Count of Patient Admission Flag]" caption="Count of Patient Admission Flag" numFmtId="0" hierarchy="31" level="32767"/>
    <cacheField name="[Callender_Table].[Date (Year)].[Date (Year)]" caption="Date (Year)" numFmtId="0" hierarchy="3" level="1">
      <sharedItems containsSemiMixedTypes="0" containsNonDate="0" containsString="0"/>
    </cacheField>
    <cacheField name="Dummy0" numFmtId="0" hierarchy="36" level="32767">
      <extLst>
        <ext xmlns:x14="http://schemas.microsoft.com/office/spreadsheetml/2009/9/main" uri="{63CAB8AC-B538-458d-9737-405883B0398D}">
          <x14:cacheField ignore="1"/>
        </ext>
      </extLst>
    </cacheField>
  </cacheFields>
  <cacheHierarchies count="37">
    <cacheHierarchy uniqueName="[Callender_Table].[Date]" caption="Date" attribute="1" time="1" defaultMemberUniqueName="[Callender_Table].[Date].[All]" allUniqueName="[Callender_Table].[Date].[All]" dimensionUniqueName="[Callender_Table]" displayFolder="" count="0" memberValueDatatype="7" unbalanced="0"/>
    <cacheHierarchy uniqueName="[Callender_Table].[Date (Month)]" caption="Date (Month)" attribute="1" defaultMemberUniqueName="[Callender_Table].[Date (Month)].[All]" allUniqueName="[Callender_Table].[Date (Month)].[All]" dimensionUniqueName="[Callender_Table]" displayFolder="" count="2" memberValueDatatype="130" unbalanced="0">
      <fieldsUsage count="2">
        <fieldUsage x="-1"/>
        <fieldUsage x="0"/>
      </fieldsUsage>
    </cacheHierarchy>
    <cacheHierarchy uniqueName="[Callender_Table].[Date (Day)]" caption="Date (Day)" attribute="1" defaultMemberUniqueName="[Callender_Table].[Date (Day)].[All]" allUniqueName="[Callender_Table].[Date (Day)].[All]" dimensionUniqueName="[Callender_Table]" displayFolder="" count="0" memberValueDatatype="130" unbalanced="0"/>
    <cacheHierarchy uniqueName="[Callender_Table].[Date (Year)]" caption="Date (Year)" attribute="1" defaultMemberUniqueName="[Callender_Table].[Date (Year)].[All]" allUniqueName="[Callender_Table].[Date (Year)].[All]" dimensionUniqueName="[Callender_Table]" displayFolder="" count="2" memberValueDatatype="130" unbalanced="0">
      <fieldsUsage count="2">
        <fieldUsage x="-1"/>
        <fieldUsage x="3"/>
      </fieldsUsage>
    </cacheHierarchy>
    <cacheHierarchy uniqueName="[Callender_Table].[Date (Quarter)]" caption="Date (Quarter)" attribute="1" defaultMemberUniqueName="[Callender_Table].[Date (Quarter)].[All]" allUniqueName="[Callender_Table].[Date (Quarter)].[All]" dimensionUniqueName="[Callende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Patient name]" caption="Patient name" attribute="1" defaultMemberUniqueName="[Hospital Emergency Room Data].[Patient name].[All]" allUniqueName="[Hospital Emergency Room Data].[Patient name].[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2" memberValueDatatype="130" unbalanced="0">
      <fieldsUsage count="2">
        <fieldUsage x="-1"/>
        <fieldUsage x="1"/>
      </fieldsUsage>
    </cacheHierarchy>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Patient Admission Flag_1]" caption="Patient Admission Flag_1" attribute="1" defaultMemberUniqueName="[Hospital Emergency Room Data].[Patient Admission Flag_1].[All]" allUniqueName="[Hospital Emergency Room Data].[Patient Admission Flag_1].[All]" dimensionUniqueName="[Hospital Emergency Room Data]" displayFolder="" count="0" memberValueDatatype="11"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lender_Table].[Date (Day Index)]" caption="Date (Day Index)" attribute="1" defaultMemberUniqueName="[Callender_Table].[Date (Day Index)].[All]" allUniqueName="[Callender_Table].[Date (Day Index)].[All]" dimensionUniqueName="[Callender_Table]" displayFolder="" count="0" memberValueDatatype="5" unbalanced="0" hidden="1"/>
    <cacheHierarchy uniqueName="[Callender_Table].[Date (Month Index)]" caption="Date (Month Index)" attribute="1" defaultMemberUniqueName="[Callender_Table].[Date (Month Index)].[All]" allUniqueName="[Callender_Table].[Date (Month Index)].[All]" dimensionUniqueName="[Callende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lender_Table]" caption="__XL_Count Callender_Table" measure="1" displayFolder="" measureGroup="Callende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dmission Flag_1]" caption="Count of Patient Admission Flag_1"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Admission Flag]" caption="Count of Patient Admission Flag" measure="1" displayFolder="" measureGroup="Hospital Emergency Room Data" count="0" oneField="1" hidden="1">
      <fieldsUsage count="1">
        <fieldUsage x="2"/>
      </fieldsUsage>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Attend Status]" caption="Count of Patient Attend Status" measure="1" displayFolder="" measureGroup="Hospital Emergency Room Data" count="0" hidden="1">
      <extLst>
        <ext xmlns:x15="http://schemas.microsoft.com/office/spreadsheetml/2010/11/main" uri="{B97F6D7D-B522-45F9-BDA1-12C45D357490}">
          <x15:cacheHierarchy aggregatedColumn="18"/>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y uniqueName="Dummy0" caption="Date" measure="1" count="0">
      <extLst>
        <ext xmlns:x14="http://schemas.microsoft.com/office/spreadsheetml/2009/9/main" uri="{8CF416AD-EC4C-4aba-99F5-12A058AE0983}">
          <x14:cacheHierarchy ignore="1"/>
        </ext>
      </extLst>
    </cacheHierarchy>
  </cacheHierarchies>
  <kpis count="0"/>
  <dimensions count="3">
    <dimension name="Callender_Table" uniqueName="[Callender_Table]" caption="Callender_Table"/>
    <dimension name="Hospital Emergency Room Data" uniqueName="[Hospital Emergency Room Data]" caption="Hospital Emergency Room Data"/>
    <dimension measure="1" name="Measures" uniqueName="[Measures]" caption="Measures"/>
  </dimensions>
  <measureGroups count="2">
    <measureGroup name="Callender_Table" caption="Callende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it Bhatt" refreshedDate="45819.986106944445" createdVersion="5" refreshedVersion="8" minRefreshableVersion="3" recordCount="0" supportSubquery="1" supportAdvancedDrill="1" xr:uid="{2B2372A3-7DA8-4D23-89F1-98E486A6FB35}">
  <cacheSource type="external" connectionId="3"/>
  <cacheFields count="4">
    <cacheField name="[Callender_Table].[Date (Month)].[Date (Month)]" caption="Date (Month)" numFmtId="0" hierarchy="1" level="1">
      <sharedItems containsSemiMixedTypes="0" containsNonDate="0" containsString="0"/>
    </cacheField>
    <cacheField name="[Measures].[Count of Age Group]" caption="Count of Age Group" numFmtId="0" hierarchy="32" level="32767"/>
    <cacheField name="[Hospital Emergency Room Data].[Age Group].[Age Group]" caption="Age Group" numFmtId="0" hierarchy="17" level="1">
      <sharedItems count="8">
        <s v="0-09"/>
        <s v="10-19"/>
        <s v="20-29"/>
        <s v="30-39"/>
        <s v="40-49"/>
        <s v="50-59"/>
        <s v="60-69"/>
        <s v="70-79"/>
      </sharedItems>
    </cacheField>
    <cacheField name="[Callender_Table].[Date (Year)].[Date (Year)]" caption="Date (Year)" numFmtId="0" hierarchy="3" level="1">
      <sharedItems containsSemiMixedTypes="0" containsNonDate="0" containsString="0"/>
    </cacheField>
  </cacheFields>
  <cacheHierarchies count="36">
    <cacheHierarchy uniqueName="[Callender_Table].[Date]" caption="Date" attribute="1" time="1" defaultMemberUniqueName="[Callender_Table].[Date].[All]" allUniqueName="[Callender_Table].[Date].[All]" dimensionUniqueName="[Callender_Table]" displayFolder="" count="0" memberValueDatatype="7" unbalanced="0"/>
    <cacheHierarchy uniqueName="[Callender_Table].[Date (Month)]" caption="Date (Month)" attribute="1" defaultMemberUniqueName="[Callender_Table].[Date (Month)].[All]" allUniqueName="[Callender_Table].[Date (Month)].[All]" dimensionUniqueName="[Callender_Table]" displayFolder="" count="2" memberValueDatatype="130" unbalanced="0">
      <fieldsUsage count="2">
        <fieldUsage x="-1"/>
        <fieldUsage x="0"/>
      </fieldsUsage>
    </cacheHierarchy>
    <cacheHierarchy uniqueName="[Callender_Table].[Date (Day)]" caption="Date (Day)" attribute="1" defaultMemberUniqueName="[Callender_Table].[Date (Day)].[All]" allUniqueName="[Callender_Table].[Date (Day)].[All]" dimensionUniqueName="[Callender_Table]" displayFolder="" count="0" memberValueDatatype="130" unbalanced="0"/>
    <cacheHierarchy uniqueName="[Callender_Table].[Date (Year)]" caption="Date (Year)" attribute="1" defaultMemberUniqueName="[Callender_Table].[Date (Year)].[All]" allUniqueName="[Callender_Table].[Date (Year)].[All]" dimensionUniqueName="[Callender_Table]" displayFolder="" count="2" memberValueDatatype="130" unbalanced="0">
      <fieldsUsage count="2">
        <fieldUsage x="-1"/>
        <fieldUsage x="3"/>
      </fieldsUsage>
    </cacheHierarchy>
    <cacheHierarchy uniqueName="[Callender_Table].[Date (Quarter)]" caption="Date (Quarter)" attribute="1" defaultMemberUniqueName="[Callender_Table].[Date (Quarter)].[All]" allUniqueName="[Callender_Table].[Date (Quarter)].[All]" dimensionUniqueName="[Callende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Patient name]" caption="Patient name" attribute="1" defaultMemberUniqueName="[Hospital Emergency Room Data].[Patient name].[All]" allUniqueName="[Hospital Emergency Room Data].[Patient name].[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Patient Admission Flag_1]" caption="Patient Admission Flag_1" attribute="1" defaultMemberUniqueName="[Hospital Emergency Room Data].[Patient Admission Flag_1].[All]" allUniqueName="[Hospital Emergency Room Data].[Patient Admission Flag_1].[All]" dimensionUniqueName="[Hospital Emergency Room Data]" displayFolder="" count="0" memberValueDatatype="11"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2" memberValueDatatype="130" unbalanced="0">
      <fieldsUsage count="2">
        <fieldUsage x="-1"/>
        <fieldUsage x="2"/>
      </fieldsUsage>
    </cacheHierarchy>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lender_Table].[Date (Day Index)]" caption="Date (Day Index)" attribute="1" defaultMemberUniqueName="[Callender_Table].[Date (Day Index)].[All]" allUniqueName="[Callender_Table].[Date (Day Index)].[All]" dimensionUniqueName="[Callender_Table]" displayFolder="" count="0" memberValueDatatype="5" unbalanced="0" hidden="1"/>
    <cacheHierarchy uniqueName="[Callender_Table].[Date (Month Index)]" caption="Date (Month Index)" attribute="1" defaultMemberUniqueName="[Callender_Table].[Date (Month Index)].[All]" allUniqueName="[Callender_Table].[Date (Month Index)].[All]" dimensionUniqueName="[Callende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lender_Table]" caption="__XL_Count Callender_Table" measure="1" displayFolder="" measureGroup="Callende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dmission Flag_1]" caption="Count of Patient Admission Flag_1"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oneField="1" hidden="1">
      <fieldsUsage count="1">
        <fieldUsage x="1"/>
      </fieldsUsage>
      <extLst>
        <ext xmlns:x15="http://schemas.microsoft.com/office/spreadsheetml/2010/11/main" uri="{B97F6D7D-B522-45F9-BDA1-12C45D357490}">
          <x15:cacheHierarchy aggregatedColumn="17"/>
        </ext>
      </extLst>
    </cacheHierarchy>
    <cacheHierarchy uniqueName="[Measures].[Count of Patient Attend Status]" caption="Count of Patient Attend Status" measure="1" displayFolder="" measureGroup="Hospital Emergency Room Data" count="0" hidden="1">
      <extLst>
        <ext xmlns:x15="http://schemas.microsoft.com/office/spreadsheetml/2010/11/main" uri="{B97F6D7D-B522-45F9-BDA1-12C45D357490}">
          <x15:cacheHierarchy aggregatedColumn="18"/>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lender_Table" uniqueName="[Callender_Table]" caption="Callender_Table"/>
    <dimension name="Hospital Emergency Room Data" uniqueName="[Hospital Emergency Room Data]" caption="Hospital Emergency Room Data"/>
    <dimension measure="1" name="Measures" uniqueName="[Measures]" caption="Measures"/>
  </dimensions>
  <measureGroups count="2">
    <measureGroup name="Callender_Table" caption="Callende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it Bhatt" refreshedDate="45761.991224652775" createdVersion="3" refreshedVersion="8" minRefreshableVersion="3" recordCount="0" supportSubquery="1" supportAdvancedDrill="1" xr:uid="{191CF271-08CA-423E-B598-B589BE7B6438}">
  <cacheSource type="external" connectionId="3">
    <extLst>
      <ext xmlns:x14="http://schemas.microsoft.com/office/spreadsheetml/2009/9/main" uri="{F057638F-6D5F-4e77-A914-E7F072B9BCA8}">
        <x14:sourceConnection name="ThisWorkbookDataModel"/>
      </ext>
    </extLst>
  </cacheSource>
  <cacheFields count="0"/>
  <cacheHierarchies count="36">
    <cacheHierarchy uniqueName="[Callender_Table].[Date]" caption="Date" attribute="1" time="1" defaultMemberUniqueName="[Callender_Table].[Date].[All]" allUniqueName="[Callender_Table].[Date].[All]" dimensionUniqueName="[Callender_Table]" displayFolder="" count="2" memberValueDatatype="7" unbalanced="0"/>
    <cacheHierarchy uniqueName="[Callender_Table].[Date (Month)]" caption="Date (Month)" attribute="1" defaultMemberUniqueName="[Callender_Table].[Date (Month)].[All]" allUniqueName="[Callender_Table].[Date (Month)].[All]" dimensionUniqueName="[Callender_Table]" displayFolder="" count="2" memberValueDatatype="130" unbalanced="0"/>
    <cacheHierarchy uniqueName="[Callender_Table].[Date (Day)]" caption="Date (Day)" attribute="1" defaultMemberUniqueName="[Callender_Table].[Date (Day)].[All]" allUniqueName="[Callender_Table].[Date (Day)].[All]" dimensionUniqueName="[Callender_Table]" displayFolder="" count="0" memberValueDatatype="130" unbalanced="0"/>
    <cacheHierarchy uniqueName="[Callender_Table].[Date (Year)]" caption="Date (Year)" attribute="1" defaultMemberUniqueName="[Callender_Table].[Date (Year)].[All]" allUniqueName="[Callender_Table].[Date (Year)].[All]" dimensionUniqueName="[Callender_Table]" displayFolder="" count="2" memberValueDatatype="130" unbalanced="0"/>
    <cacheHierarchy uniqueName="[Callender_Table].[Date (Quarter)]" caption="Date (Quarter)" attribute="1" defaultMemberUniqueName="[Callender_Table].[Date (Quarter)].[All]" allUniqueName="[Callender_Table].[Date (Quarter)].[All]" dimensionUniqueName="[Callende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Patient name]" caption="Patient name" attribute="1" defaultMemberUniqueName="[Hospital Emergency Room Data].[Patient name].[All]" allUniqueName="[Hospital Emergency Room Data].[Patient name].[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Patient Admission Flag_1]" caption="Patient Admission Flag_1" attribute="1" defaultMemberUniqueName="[Hospital Emergency Room Data].[Patient Admission Flag_1].[All]" allUniqueName="[Hospital Emergency Room Data].[Patient Admission Flag_1].[All]" dimensionUniqueName="[Hospital Emergency Room Data]" displayFolder="" count="0" memberValueDatatype="11"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lender_Table].[Date (Day Index)]" caption="Date (Day Index)" attribute="1" defaultMemberUniqueName="[Callender_Table].[Date (Day Index)].[All]" allUniqueName="[Callender_Table].[Date (Day Index)].[All]" dimensionUniqueName="[Callender_Table]" displayFolder="" count="0" memberValueDatatype="5" unbalanced="0" hidden="1"/>
    <cacheHierarchy uniqueName="[Callender_Table].[Date (Month Index)]" caption="Date (Month Index)" attribute="1" defaultMemberUniqueName="[Callender_Table].[Date (Month Index)].[All]" allUniqueName="[Callender_Table].[Date (Month Index)].[All]" dimensionUniqueName="[Callende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lender_Table]" caption="__XL_Count Callender_Table" measure="1" displayFolder="" measureGroup="Callende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dmission Flag_1]" caption="Count of Patient Admission Flag_1"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Attend Status]" caption="Count of Patient Attend Status" measure="1" displayFolder="" measureGroup="Hospital Emergency Room Data" count="0" hidden="1">
      <extLst>
        <ext xmlns:x15="http://schemas.microsoft.com/office/spreadsheetml/2010/11/main" uri="{B97F6D7D-B522-45F9-BDA1-12C45D357490}">
          <x15:cacheHierarchy aggregatedColumn="18"/>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extLst>
    <ext xmlns:x14="http://schemas.microsoft.com/office/spreadsheetml/2009/9/main" uri="{725AE2AE-9491-48be-B2B4-4EB974FC3084}">
      <x14:pivotCacheDefinition slicerData="1" pivotCacheId="764350302"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6C7E642-A5AD-4B14-AD7B-955911782E25}" name="PivotTable11" cacheId="240" applyNumberFormats="0" applyBorderFormats="0" applyFontFormats="0" applyPatternFormats="0" applyAlignmentFormats="0" applyWidthHeightFormats="1" dataCaption="Values" tag="f36b2d9f-31c2-48df-8e12-55a94eb28ba8" updatedVersion="8" minRefreshableVersion="3" subtotalHiddenItems="1" itemPrintTitles="1" createdVersion="5" indent="0" multipleFieldFilters="0" chartFormat="21">
  <location ref="D62:E65" firstHeaderRow="1" firstDataRow="1" firstDataCol="1"/>
  <pivotFields count="4">
    <pivotField allDrilled="1" showAll="0" dataSourceSort="1" defaultAttributeDrillState="1"/>
    <pivotField axis="axisRow" allDrilled="1" showAll="0" dataSourceSort="1" defaultAttributeDrillState="1">
      <items count="3">
        <item x="0"/>
        <item x="1"/>
        <item t="default"/>
      </items>
    </pivotField>
    <pivotField dataField="1" showAll="0"/>
    <pivotField allDrilled="1" showAll="0" dataSourceSort="1" defaultAttributeDrillState="1"/>
  </pivotFields>
  <rowFields count="1">
    <field x="1"/>
  </rowFields>
  <rowItems count="3">
    <i>
      <x/>
    </i>
    <i>
      <x v="1"/>
    </i>
    <i t="grand">
      <x/>
    </i>
  </rowItems>
  <colItems count="1">
    <i/>
  </colItems>
  <dataFields count="1">
    <dataField name="Count of Patient Gender" fld="2" subtotal="count" baseField="0" baseItem="0"/>
  </dataFields>
  <formats count="2">
    <format dxfId="120">
      <pivotArea outline="0" collapsedLevelsAreSubtotals="1" fieldPosition="0"/>
    </format>
    <format dxfId="119">
      <pivotArea dataOnly="0" labelOnly="1" outline="0" axis="axisValues" fieldPosition="0"/>
    </format>
  </formats>
  <chartFormats count="3">
    <chartFormat chart="20" format="4" series="1">
      <pivotArea type="data" outline="0" fieldPosition="0">
        <references count="1">
          <reference field="4294967294" count="1" selected="0">
            <x v="0"/>
          </reference>
        </references>
      </pivotArea>
    </chartFormat>
    <chartFormat chart="20" format="5">
      <pivotArea type="data" outline="0" fieldPosition="0">
        <references count="2">
          <reference field="4294967294" count="1" selected="0">
            <x v="0"/>
          </reference>
          <reference field="1" count="1" selected="0">
            <x v="0"/>
          </reference>
        </references>
      </pivotArea>
    </chartFormat>
    <chartFormat chart="20" format="6">
      <pivotArea type="data" outline="0" fieldPosition="0">
        <references count="2">
          <reference field="4294967294" count="1" selected="0">
            <x v="0"/>
          </reference>
          <reference field="1" count="1" selected="0">
            <x v="1"/>
          </reference>
        </references>
      </pivotArea>
    </chartFormat>
  </chartFormats>
  <pivotHierarchies count="36">
    <pivotHierarchy dragToData="1"/>
    <pivotHierarchy multipleItemSelectionAllowed="1" dragToData="1">
      <members count="1" level="1">
        <member name="[Callender_Table].[Date (Month)].&amp;[Jun]"/>
      </members>
    </pivotHierarchy>
    <pivotHierarchy dragToData="1"/>
    <pivotHierarchy multipleItemSelectionAllowed="1" dragToData="1">
      <members count="1" level="1">
        <member name="[Callender_Table].[Date (Year)].&amp;[2024]"/>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caption="Average of Patient Waittime"/>
    <pivotHierarchy dragToData="1"/>
    <pivotHierarchy dragToData="1" caption="Average of Patient Satisfaction Score"/>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lender_Table]"/>
      </x15:pivotTableUISettings>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3AAF051-477F-42DC-AC7C-90ED9AA9903A}" name="PivotTable1" cacheId="234" applyNumberFormats="0" applyBorderFormats="0" applyFontFormats="0" applyPatternFormats="0" applyAlignmentFormats="0" applyWidthHeightFormats="1" dataCaption="Values" tag="45fa0d06-0298-4972-84e0-21ca0ff0ac78" updatedVersion="8" minRefreshableVersion="3" useAutoFormatting="1" subtotalHiddenItems="1" itemPrintTitles="1" createdVersion="5" indent="0" multipleFieldFilters="0">
  <location ref="A3:A4" firstHeaderRow="1" firstDataRow="1" firstDataCol="0"/>
  <pivotFields count="3">
    <pivotField dataField="1" showAll="0"/>
    <pivotField allDrilled="1" showAll="0" dataSourceSort="1" defaultAttributeDrillState="1"/>
    <pivotField allDrilled="1" showAll="0" dataSourceSort="1" defaultAttributeDrillState="1"/>
  </pivotFields>
  <rowItems count="1">
    <i/>
  </rowItems>
  <colItems count="1">
    <i/>
  </colItems>
  <dataFields count="1">
    <dataField name="Distinct Count of Patient Id" fld="0" subtotal="count" baseField="0" baseItem="0">
      <extLst>
        <ext xmlns:x15="http://schemas.microsoft.com/office/spreadsheetml/2010/11/main" uri="{FABC7310-3BB5-11E1-824E-6D434824019B}">
          <x15:dataField isCountDistinct="1"/>
        </ext>
      </extLst>
    </dataField>
  </dataFields>
  <pivotHierarchies count="36">
    <pivotHierarchy dragToData="1"/>
    <pivotHierarchy multipleItemSelectionAllowed="1" dragToData="1">
      <members count="1" level="1">
        <member name="[Callender_Table].[Date (Month)].&amp;[Jun]"/>
      </members>
    </pivotHierarchy>
    <pivotHierarchy dragToData="1"/>
    <pivotHierarchy multipleItemSelectionAllowed="1" dragToData="1">
      <members count="1" level="1">
        <member name="[Callender_Table].[Date (Year)].&amp;[2024]"/>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lender_Table]"/>
      </x15:pivotTableUISettings>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0EA015E-2A55-4DA1-B0D5-191AEAF0D63E}" name="PivotTable4" cacheId="252" applyNumberFormats="0" applyBorderFormats="0" applyFontFormats="0" applyPatternFormats="0" applyAlignmentFormats="0" applyWidthHeightFormats="1" dataCaption="Values" tag="eac499ed-fbe8-43bb-a1b3-c4e693e74924" updatedVersion="8" minRefreshableVersion="3" useAutoFormatting="1" subtotalHiddenItems="1" itemPrintTitles="1" createdVersion="5" indent="0" multipleFieldFilters="0" chartFormat="10">
  <location ref="C3:D34" firstHeaderRow="1" firstDataRow="1" firstDataCol="1"/>
  <pivotFields count="4">
    <pivotField dataField="1" showAll="0"/>
    <pivotField axis="axisRow" allDrilled="1" showAll="0" dataSourceSort="1" defaultAttributeDrillState="1">
      <items count="31">
        <item x="0"/>
        <item x="1"/>
        <item x="2"/>
        <item x="3"/>
        <item x="4"/>
        <item x="5"/>
        <item x="6"/>
        <item x="7"/>
        <item x="8"/>
        <item x="9"/>
        <item x="10"/>
        <item x="11"/>
        <item x="12"/>
        <item x="13"/>
        <item x="14"/>
        <item x="15"/>
        <item x="16"/>
        <item x="17"/>
        <item x="18"/>
        <item x="19"/>
        <item x="20"/>
        <item x="21"/>
        <item x="22"/>
        <item x="23"/>
        <item x="24"/>
        <item x="25"/>
        <item x="26"/>
        <item x="27"/>
        <item x="28"/>
        <item x="29"/>
        <item t="default"/>
      </items>
    </pivotField>
    <pivotField allDrilled="1" showAll="0" dataSourceSort="1" defaultAttributeDrillState="1"/>
    <pivotField allDrilled="1" showAll="0" dataSourceSort="1" defaultAttributeDrillState="1"/>
  </pivotFields>
  <rowFields count="1">
    <field x="1"/>
  </rowFields>
  <rowItems count="3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t="grand">
      <x/>
    </i>
  </rowItems>
  <colItems count="1">
    <i/>
  </colItems>
  <dataFields count="1">
    <dataField name="Distinct Count of Patient Id" fld="0" subtotal="count" baseField="0" baseItem="0">
      <extLst>
        <ext xmlns:x15="http://schemas.microsoft.com/office/spreadsheetml/2010/11/main" uri="{FABC7310-3BB5-11E1-824E-6D434824019B}">
          <x15:dataField isCountDistinct="1"/>
        </ext>
      </extLst>
    </dataField>
  </dataFields>
  <chartFormats count="2">
    <chartFormat chart="3" format="2"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Hierarchies count="36">
    <pivotHierarchy dragToData="1"/>
    <pivotHierarchy multipleItemSelectionAllowed="1" dragToData="1">
      <members count="1" level="1">
        <member name="[Callender_Table].[Date (Month)].&amp;[Jun]"/>
      </members>
    </pivotHierarchy>
    <pivotHierarchy dragToData="1"/>
    <pivotHierarchy multipleItemSelectionAllowed="1" dragToData="1">
      <members count="1" level="1">
        <member name="[Callender_Table].[Date (Year)].&amp;[2024]"/>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lender_Table]"/>
      </x15:pivotTableUISettings>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05868EE-D468-4930-8D3E-951B264D42E1}" name="PivotTable2" cacheId="246" applyNumberFormats="0" applyBorderFormats="0" applyFontFormats="0" applyPatternFormats="0" applyAlignmentFormats="0" applyWidthHeightFormats="1" dataCaption="Values" tag="7e304c2a-594d-4b60-8037-fb047fb544e5" updatedVersion="8" minRefreshableVersion="3" useAutoFormatting="1" subtotalHiddenItems="1" itemPrintTitles="1" createdVersion="5" indent="0" multipleFieldFilters="0">
  <location ref="A7:A8" firstHeaderRow="1" firstDataRow="1" firstDataCol="0"/>
  <pivotFields count="3">
    <pivotField dataField="1" showAll="0"/>
    <pivotField allDrilled="1" showAll="0" dataSourceSort="1" defaultAttributeDrillState="1"/>
    <pivotField allDrilled="1" showAll="0" dataSourceSort="1" defaultAttributeDrillState="1"/>
  </pivotFields>
  <rowItems count="1">
    <i/>
  </rowItems>
  <colItems count="1">
    <i/>
  </colItems>
  <dataFields count="1">
    <dataField name="Average of Patient Waittime" fld="0" subtotal="average" baseField="0" baseItem="0" numFmtId="2"/>
  </dataFields>
  <formats count="1">
    <format dxfId="121">
      <pivotArea outline="0" collapsedLevelsAreSubtotals="1" fieldPosition="0"/>
    </format>
  </formats>
  <pivotHierarchies count="36">
    <pivotHierarchy dragToData="1"/>
    <pivotHierarchy multipleItemSelectionAllowed="1" dragToData="1">
      <members count="1" level="1">
        <member name="[Callender_Table].[Date (Month)].&amp;[Jun]"/>
      </members>
    </pivotHierarchy>
    <pivotHierarchy dragToData="1"/>
    <pivotHierarchy multipleItemSelectionAllowed="1" dragToData="1">
      <members count="1" level="1">
        <member name="[Callender_Table].[Date (Year)].&amp;[2024]"/>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caption="Average of Patient Waittime"/>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pivotTableUISettings>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3078189-A6B9-43BC-B6CF-97ADB1659699}" name="PivotTable6" cacheId="258" applyNumberFormats="0" applyBorderFormats="0" applyFontFormats="0" applyPatternFormats="0" applyAlignmentFormats="0" applyWidthHeightFormats="1" dataCaption="Values" tag="36655b7d-b81b-4a8d-be00-d1081e3896b8" updatedVersion="8" minRefreshableVersion="3" useAutoFormatting="1" subtotalHiddenItems="1" itemPrintTitles="1" createdVersion="5" indent="0" multipleFieldFilters="0" chartFormat="25">
  <location ref="I3:J34" firstHeaderRow="1" firstDataRow="1" firstDataCol="1"/>
  <pivotFields count="4">
    <pivotField axis="axisRow" allDrilled="1" showAll="0" dataSourceSort="1" defaultAttributeDrillState="1">
      <items count="31">
        <item x="0"/>
        <item x="1"/>
        <item x="2"/>
        <item x="3"/>
        <item x="4"/>
        <item x="5"/>
        <item x="6"/>
        <item x="7"/>
        <item x="8"/>
        <item x="9"/>
        <item x="10"/>
        <item x="11"/>
        <item x="12"/>
        <item x="13"/>
        <item x="14"/>
        <item x="15"/>
        <item x="16"/>
        <item x="17"/>
        <item x="18"/>
        <item x="19"/>
        <item x="20"/>
        <item x="21"/>
        <item x="22"/>
        <item x="23"/>
        <item x="24"/>
        <item x="25"/>
        <item x="26"/>
        <item x="27"/>
        <item x="28"/>
        <item x="29"/>
        <item t="default"/>
      </items>
    </pivotField>
    <pivotField allDrilled="1" showAll="0" dataSourceSort="1" defaultAttributeDrillState="1"/>
    <pivotField dataField="1" showAll="0"/>
    <pivotField allDrilled="1" showAll="0" dataSourceSort="1" defaultAttributeDrillState="1"/>
  </pivotFields>
  <rowFields count="1">
    <field x="0"/>
  </rowFields>
  <rowItems count="3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t="grand">
      <x/>
    </i>
  </rowItems>
  <colItems count="1">
    <i/>
  </colItems>
  <dataFields count="1">
    <dataField name="Average of Patient Satisfaction Score" fld="2" subtotal="average" baseField="0" baseItem="0" numFmtId="2"/>
  </dataFields>
  <formats count="1">
    <format dxfId="122">
      <pivotArea outline="0" collapsedLevelsAreSubtotals="1" fieldPosition="0"/>
    </format>
  </formats>
  <chartFormats count="3">
    <chartFormat chart="14" format="3" series="1">
      <pivotArea type="data" outline="0" fieldPosition="0">
        <references count="1">
          <reference field="4294967294" count="1" selected="0">
            <x v="0"/>
          </reference>
        </references>
      </pivotArea>
    </chartFormat>
    <chartFormat chart="16" format="4"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0"/>
          </reference>
        </references>
      </pivotArea>
    </chartFormat>
  </chartFormats>
  <pivotHierarchies count="36">
    <pivotHierarchy dragToData="1"/>
    <pivotHierarchy multipleItemSelectionAllowed="1" dragToData="1">
      <members count="1" level="1">
        <member name="[Callender_Table].[Date (Month)].&amp;[Jun]"/>
      </members>
    </pivotHierarchy>
    <pivotHierarchy dragToData="1"/>
    <pivotHierarchy multipleItemSelectionAllowed="1" dragToData="1">
      <members count="1" level="1">
        <member name="[Callender_Table].[Date (Year)].&amp;[2024]"/>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pivotHierarchy dragToData="1"/>
    <pivotHierarchy dragToData="1" caption="Average of Patient Satisfaction Score"/>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lender_Table]"/>
      </x15:pivotTableUISettings>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AD6803A1-64FE-4412-9D50-37512BDEE653}" name="PivotTable9" cacheId="264" applyNumberFormats="0" applyBorderFormats="0" applyFontFormats="0" applyPatternFormats="0" applyAlignmentFormats="0" applyWidthHeightFormats="1" dataCaption="Values" tag="7b030006-73f1-4df7-8071-7fb491ae9902" updatedVersion="8" minRefreshableVersion="3" subtotalHiddenItems="1" itemPrintTitles="1" createdVersion="5" indent="0" multipleFieldFilters="0" chartFormat="8">
  <location ref="A49:B58" firstHeaderRow="1" firstDataRow="1" firstDataCol="1"/>
  <pivotFields count="4">
    <pivotField allDrilled="1" showAll="0" dataSourceSort="1" defaultAttributeDrillState="1"/>
    <pivotField dataField="1" showAll="0"/>
    <pivotField axis="axisRow" allDrilled="1" showAll="0" dataSourceSort="1" defaultAttributeDrillState="1">
      <items count="9">
        <item x="0"/>
        <item x="1"/>
        <item x="2"/>
        <item x="3"/>
        <item x="4"/>
        <item x="5"/>
        <item x="6"/>
        <item x="7"/>
        <item t="default"/>
      </items>
    </pivotField>
    <pivotField allDrilled="1" showAll="0" dataSourceSort="1" defaultAttributeDrillState="1"/>
  </pivotFields>
  <rowFields count="1">
    <field x="2"/>
  </rowFields>
  <rowItems count="9">
    <i>
      <x/>
    </i>
    <i>
      <x v="1"/>
    </i>
    <i>
      <x v="2"/>
    </i>
    <i>
      <x v="3"/>
    </i>
    <i>
      <x v="4"/>
    </i>
    <i>
      <x v="5"/>
    </i>
    <i>
      <x v="6"/>
    </i>
    <i>
      <x v="7"/>
    </i>
    <i t="grand">
      <x/>
    </i>
  </rowItems>
  <colItems count="1">
    <i/>
  </colItems>
  <dataFields count="1">
    <dataField name="Count of Age Group" fld="1" subtotal="count" baseField="0" baseItem="0"/>
  </dataFields>
  <formats count="2">
    <format dxfId="124">
      <pivotArea outline="0" collapsedLevelsAreSubtotals="1" fieldPosition="0"/>
    </format>
    <format dxfId="123">
      <pivotArea dataOnly="0" labelOnly="1" outline="0" axis="axisValues" fieldPosition="0"/>
    </format>
  </formats>
  <chartFormats count="1">
    <chartFormat chart="7" format="2" series="1">
      <pivotArea type="data" outline="0" fieldPosition="0">
        <references count="1">
          <reference field="4294967294" count="1" selected="0">
            <x v="0"/>
          </reference>
        </references>
      </pivotArea>
    </chartFormat>
  </chartFormats>
  <pivotHierarchies count="36">
    <pivotHierarchy dragToData="1"/>
    <pivotHierarchy multipleItemSelectionAllowed="1" dragToData="1">
      <members count="1" level="1">
        <member name="[Callender_Table].[Date (Month)].&amp;[Jun]"/>
      </members>
    </pivotHierarchy>
    <pivotHierarchy dragToData="1"/>
    <pivotHierarchy multipleItemSelectionAllowed="1" dragToData="1">
      <members count="1" level="1">
        <member name="[Callender_Table].[Date (Year)].&amp;[2024]"/>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caption="Average of Patient Waittime"/>
    <pivotHierarchy dragToData="1"/>
    <pivotHierarchy dragToData="1" caption="Average of Patient Satisfaction Score"/>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lender_Table]"/>
      </x15:pivotTableUISettings>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367AB31-DF20-4CAD-8037-A9D09B3B71F3}" name="PivotTable10" cacheId="237" applyNumberFormats="0" applyBorderFormats="0" applyFontFormats="0" applyPatternFormats="0" applyAlignmentFormats="0" applyWidthHeightFormats="1" dataCaption="Values" tag="5e015f26-f208-4c4f-b040-cc48c12468bd" updatedVersion="8" minRefreshableVersion="3" subtotalHiddenItems="1" itemPrintTitles="1" createdVersion="5" indent="0" multipleFieldFilters="0" chartFormat="14">
  <location ref="A62:B65" firstHeaderRow="1" firstDataRow="1" firstDataCol="1"/>
  <pivotFields count="4">
    <pivotField allDrilled="1" showAll="0" dataSourceSort="1" defaultAttributeDrillState="1"/>
    <pivotField axis="axisRow" allDrilled="1" showAll="0" dataSourceSort="1" defaultAttributeDrillState="1">
      <items count="3">
        <item x="0"/>
        <item x="1"/>
        <item t="default"/>
      </items>
    </pivotField>
    <pivotField dataField="1" showAll="0"/>
    <pivotField allDrilled="1" showAll="0" dataSourceSort="1" defaultAttributeDrillState="1"/>
  </pivotFields>
  <rowFields count="1">
    <field x="1"/>
  </rowFields>
  <rowItems count="3">
    <i>
      <x/>
    </i>
    <i>
      <x v="1"/>
    </i>
    <i t="grand">
      <x/>
    </i>
  </rowItems>
  <colItems count="1">
    <i/>
  </colItems>
  <dataFields count="1">
    <dataField name="Count of Patient Attend Status" fld="2" subtotal="count" baseField="0" baseItem="0"/>
  </dataFields>
  <formats count="2">
    <format dxfId="126">
      <pivotArea outline="0" collapsedLevelsAreSubtotals="1" fieldPosition="0"/>
    </format>
    <format dxfId="125">
      <pivotArea dataOnly="0" labelOnly="1" outline="0" axis="axisValues" fieldPosition="0"/>
    </format>
  </formats>
  <chartFormats count="6">
    <chartFormat chart="10" format="1" series="1">
      <pivotArea type="data" outline="0" fieldPosition="0">
        <references count="1">
          <reference field="4294967294" count="1" selected="0">
            <x v="0"/>
          </reference>
        </references>
      </pivotArea>
    </chartFormat>
    <chartFormat chart="10" format="2">
      <pivotArea type="data" outline="0" fieldPosition="0">
        <references count="2">
          <reference field="4294967294" count="1" selected="0">
            <x v="0"/>
          </reference>
          <reference field="1" count="1" selected="0">
            <x v="0"/>
          </reference>
        </references>
      </pivotArea>
    </chartFormat>
    <chartFormat chart="10" format="3">
      <pivotArea type="data" outline="0" fieldPosition="0">
        <references count="2">
          <reference field="4294967294" count="1" selected="0">
            <x v="0"/>
          </reference>
          <reference field="1" count="1" selected="0">
            <x v="1"/>
          </reference>
        </references>
      </pivotArea>
    </chartFormat>
    <chartFormat chart="11" format="4" series="1">
      <pivotArea type="data" outline="0" fieldPosition="0">
        <references count="1">
          <reference field="4294967294" count="1" selected="0">
            <x v="0"/>
          </reference>
        </references>
      </pivotArea>
    </chartFormat>
    <chartFormat chart="11" format="5">
      <pivotArea type="data" outline="0" fieldPosition="0">
        <references count="2">
          <reference field="4294967294" count="1" selected="0">
            <x v="0"/>
          </reference>
          <reference field="1" count="1" selected="0">
            <x v="0"/>
          </reference>
        </references>
      </pivotArea>
    </chartFormat>
    <chartFormat chart="11" format="6">
      <pivotArea type="data" outline="0" fieldPosition="0">
        <references count="2">
          <reference field="4294967294" count="1" selected="0">
            <x v="0"/>
          </reference>
          <reference field="1" count="1" selected="0">
            <x v="1"/>
          </reference>
        </references>
      </pivotArea>
    </chartFormat>
  </chartFormats>
  <pivotHierarchies count="36">
    <pivotHierarchy dragToData="1"/>
    <pivotHierarchy multipleItemSelectionAllowed="1" dragToData="1">
      <members count="1" level="1">
        <member name="[Callender_Table].[Date (Month)].&amp;[Jun]"/>
      </members>
    </pivotHierarchy>
    <pivotHierarchy dragToData="1"/>
    <pivotHierarchy multipleItemSelectionAllowed="1" dragToData="1">
      <members count="1" level="1">
        <member name="[Callender_Table].[Date (Year)].&amp;[2024]"/>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caption="Average of Patient Waittime"/>
    <pivotHierarchy dragToData="1"/>
    <pivotHierarchy dragToData="1" caption="Average of Patient Satisfaction Score"/>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lender_Table]"/>
      </x15:pivotTableUISettings>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8AAE084F-8DF0-4D7D-B7CA-32EBB96B8722}" name="PivotTable7" cacheId="261" applyNumberFormats="0" applyBorderFormats="0" applyFontFormats="0" applyPatternFormats="0" applyAlignmentFormats="0" applyWidthHeightFormats="1" dataCaption="Values" tag="d5028fb1-f1d6-4c7d-8e91-0005f3007178" updatedVersion="8" minRefreshableVersion="3" subtotalHiddenItems="1" itemPrintTitles="1" createdVersion="5" indent="0" multipleFieldFilters="0" chartFormat="4">
  <location ref="A38:C41" firstHeaderRow="0" firstDataRow="1" firstDataCol="1"/>
  <pivotFields count="5">
    <pivotField allDrilled="1" showAll="0" dataSourceSort="1" defaultAttributeDrillState="1"/>
    <pivotField axis="axisRow" allDrilled="1" showAll="0" dataSourceSort="1" defaultAttributeDrillState="1">
      <items count="3">
        <item x="0"/>
        <item x="1"/>
        <item t="default"/>
      </items>
    </pivotField>
    <pivotField dataField="1" showAll="0"/>
    <pivotField allDrilled="1" showAll="0" dataSourceSort="1"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3">
    <i>
      <x/>
    </i>
    <i>
      <x v="1"/>
    </i>
    <i t="grand">
      <x/>
    </i>
  </rowItems>
  <colFields count="1">
    <field x="-2"/>
  </colFields>
  <colItems count="2">
    <i>
      <x/>
    </i>
    <i i="1">
      <x v="1"/>
    </i>
  </colItems>
  <dataFields count="2">
    <dataField name="Count of Patient Admission Flag" fld="2" subtotal="count" baseField="0" baseItem="0" numFmtId="1"/>
    <dataField name="Count of Patient Admission Flag2" fld="4" subtotal="count" showDataAs="percentOfTotal" baseField="0" baseItem="0" numFmtId="10">
      <extLst>
        <ext xmlns:x14="http://schemas.microsoft.com/office/spreadsheetml/2009/9/main" uri="{E15A36E0-9728-4e99-A89B-3F7291B0FE68}">
          <x14:dataField sourceField="2" uniqueName="[__Xl2].[Measures].[Count of Patient Admission Flag]"/>
        </ext>
      </extLst>
    </dataField>
  </dataFields>
  <formats count="3">
    <format dxfId="129">
      <pivotArea outline="0" collapsedLevelsAreSubtotals="1" fieldPosition="0"/>
    </format>
    <format dxfId="128">
      <pivotArea dataOnly="0" labelOnly="1" outline="0" axis="axisValues" fieldPosition="0"/>
    </format>
    <format dxfId="127">
      <pivotArea outline="0" fieldPosition="0">
        <references count="1">
          <reference field="4294967294" count="1">
            <x v="1"/>
          </reference>
        </references>
      </pivotArea>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pivotArea type="data" outline="0" fieldPosition="0">
        <references count="2">
          <reference field="4294967294" count="1" selected="0">
            <x v="0"/>
          </reference>
          <reference field="1" count="1" selected="0">
            <x v="0"/>
          </reference>
        </references>
      </pivotArea>
    </chartFormat>
    <chartFormat chart="0" format="3">
      <pivotArea type="data" outline="0" fieldPosition="0">
        <references count="2">
          <reference field="4294967294" count="1" selected="0">
            <x v="0"/>
          </reference>
          <reference field="1" count="1" selected="0">
            <x v="1"/>
          </reference>
        </references>
      </pivotArea>
    </chartFormat>
  </chartFormats>
  <pivotHierarchies count="37">
    <pivotHierarchy dragToData="1"/>
    <pivotHierarchy multipleItemSelectionAllowed="1" dragToData="1">
      <members count="1" level="1">
        <member name="[Callender_Table].[Date (Month)].&amp;[Jun]"/>
      </members>
    </pivotHierarchy>
    <pivotHierarchy dragToData="1"/>
    <pivotHierarchy multipleItemSelectionAllowed="1" dragToData="1">
      <members count="1" level="1">
        <member name="[Callender_Table].[Date (Year)].&amp;[2024]"/>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caption="Average of Patient Waittime"/>
    <pivotHierarchy dragToData="1"/>
    <pivotHierarchy dragToData="1" caption="Average of Patient Satisfaction Score"/>
    <pivotHierarchy dragToData="1"/>
    <pivotHierarchy dragToData="1"/>
    <pivotHierarchy dragToData="1"/>
    <pivotHierarchy dragToData="1"/>
    <pivotHierarchy dragToData="1"/>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lender_Table]"/>
      </x15:pivotTableUISettings>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31697733-9BBF-4E15-AEE5-B0F467B5D630}" name="PivotTable5" cacheId="255" applyNumberFormats="0" applyBorderFormats="0" applyFontFormats="0" applyPatternFormats="0" applyAlignmentFormats="0" applyWidthHeightFormats="1" dataCaption="Values" tag="2a0801e2-39ab-40dd-bb56-031855474460" updatedVersion="8" minRefreshableVersion="3" useAutoFormatting="1" subtotalHiddenItems="1" itemPrintTitles="1" createdVersion="5" indent="0" multipleFieldFilters="0" chartFormat="18">
  <location ref="F3:G34" firstHeaderRow="1" firstDataRow="1" firstDataCol="1"/>
  <pivotFields count="4">
    <pivotField axis="axisRow" allDrilled="1" showAll="0" dataSourceSort="1" defaultAttributeDrillState="1">
      <items count="31">
        <item x="0"/>
        <item x="1"/>
        <item x="2"/>
        <item x="3"/>
        <item x="4"/>
        <item x="5"/>
        <item x="6"/>
        <item x="7"/>
        <item x="8"/>
        <item x="9"/>
        <item x="10"/>
        <item x="11"/>
        <item x="12"/>
        <item x="13"/>
        <item x="14"/>
        <item x="15"/>
        <item x="16"/>
        <item x="17"/>
        <item x="18"/>
        <item x="19"/>
        <item x="20"/>
        <item x="21"/>
        <item x="22"/>
        <item x="23"/>
        <item x="24"/>
        <item x="25"/>
        <item x="26"/>
        <item x="27"/>
        <item x="28"/>
        <item x="29"/>
        <item t="default"/>
      </items>
    </pivotField>
    <pivotField allDrilled="1" showAll="0" dataSourceSort="1" defaultAttributeDrillState="1"/>
    <pivotField dataField="1" showAll="0"/>
    <pivotField allDrilled="1" showAll="0" dataSourceSort="1" defaultAttributeDrillState="1"/>
  </pivotFields>
  <rowFields count="1">
    <field x="0"/>
  </rowFields>
  <rowItems count="3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t="grand">
      <x/>
    </i>
  </rowItems>
  <colItems count="1">
    <i/>
  </colItems>
  <dataFields count="1">
    <dataField name="Average of Patient Waittime" fld="2" subtotal="average" baseField="0" baseItem="0" numFmtId="2"/>
  </dataFields>
  <formats count="1">
    <format dxfId="130">
      <pivotArea outline="0" collapsedLevelsAreSubtotals="1" fieldPosition="0"/>
    </format>
  </formats>
  <chartFormats count="2">
    <chartFormat chart="14" format="4" series="1">
      <pivotArea type="data" outline="0" fieldPosition="0">
        <references count="1">
          <reference field="4294967294" count="1" selected="0">
            <x v="0"/>
          </reference>
        </references>
      </pivotArea>
    </chartFormat>
    <chartFormat chart="16" format="4" series="1">
      <pivotArea type="data" outline="0" fieldPosition="0">
        <references count="1">
          <reference field="4294967294" count="1" selected="0">
            <x v="0"/>
          </reference>
        </references>
      </pivotArea>
    </chartFormat>
  </chartFormats>
  <pivotHierarchies count="36">
    <pivotHierarchy dragToData="1"/>
    <pivotHierarchy multipleItemSelectionAllowed="1" dragToData="1">
      <members count="1" level="1">
        <member name="[Callender_Table].[Date (Month)].&amp;[Jun]"/>
      </members>
    </pivotHierarchy>
    <pivotHierarchy dragToData="1"/>
    <pivotHierarchy multipleItemSelectionAllowed="1" dragToData="1">
      <members count="1" level="1">
        <member name="[Callender_Table].[Date (Year)].&amp;[2024]"/>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caption="Average of Patient Waittime"/>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lender_Table]"/>
      </x15:pivotTableUISettings>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CCEA13B5-5577-4C5A-8649-3243834E07DE}" name="PivotTable8" cacheId="231" applyNumberFormats="0" applyBorderFormats="0" applyFontFormats="0" applyPatternFormats="0" applyAlignmentFormats="0" applyWidthHeightFormats="1" dataCaption="Values" tag="f36b2d9f-31c2-48df-8e12-55a94eb28ba8" updatedVersion="8" minRefreshableVersion="3" subtotalHiddenItems="1" itemPrintTitles="1" createdVersion="5" indent="0" multipleFieldFilters="0" chartFormat="21">
  <location ref="D69:D71" firstHeaderRow="1" firstDataRow="1" firstDataCol="1"/>
  <pivotFields count="4">
    <pivotField axis="axisRow" allDrilled="1" showAll="0" dataSourceSort="1">
      <items count="2">
        <item x="0" e="0"/>
        <item t="default"/>
      </items>
    </pivotField>
    <pivotField axis="axisRow" allDrilled="1" showAll="0" dataSourceSort="1" defaultAttributeDrillState="1">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axis="axisRow" allDrilled="1" showAll="0" dataSourceSort="1">
      <items count="2">
        <item x="0" e="0"/>
        <item t="default"/>
      </items>
    </pivotField>
    <pivotField axis="axisRow" allDrilled="1" showAll="0" dataSourceSort="1">
      <items count="2">
        <item s="1" x="0" e="0"/>
        <item t="default"/>
      </items>
    </pivotField>
  </pivotFields>
  <rowFields count="4">
    <field x="3"/>
    <field x="2"/>
    <field x="0"/>
    <field x="1"/>
  </rowFields>
  <rowItems count="2">
    <i>
      <x/>
    </i>
    <i t="grand">
      <x/>
    </i>
  </rowItems>
  <formats count="2">
    <format dxfId="132">
      <pivotArea outline="0" collapsedLevelsAreSubtotals="1" fieldPosition="0"/>
    </format>
    <format dxfId="131">
      <pivotArea dataOnly="0" labelOnly="1" outline="0" axis="axisValues" fieldPosition="0"/>
    </format>
  </formats>
  <pivotHierarchies count="36">
    <pivotHierarchy dragToData="1"/>
    <pivotHierarchy multipleItemSelectionAllowed="1" dragToData="1">
      <members count="1" level="1">
        <member name="[Callender_Table].[Date (Month)].&amp;[Jun]"/>
      </members>
    </pivotHierarchy>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caption="Average of Patient Waittime"/>
    <pivotHierarchy dragToData="1"/>
    <pivotHierarchy dragToData="1" caption="Average of Patient Satisfaction Score"/>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4">
    <rowHierarchyUsage hierarchyUsage="3"/>
    <rowHierarchyUsage hierarchyUsage="4"/>
    <rowHierarchyUsage hierarchyUsage="1"/>
    <rowHierarchyUsage hierarchyUsage="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lender_Table]"/>
      </x15:pivotTableUISettings>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F936D745-3E86-4417-993B-F8A39AB137E0}" name="PivotTable3" cacheId="249" applyNumberFormats="0" applyBorderFormats="0" applyFontFormats="0" applyPatternFormats="0" applyAlignmentFormats="0" applyWidthHeightFormats="1" dataCaption="Values" tag="ff28c123-a15a-4ee4-aa46-c96bd847e606" updatedVersion="8" minRefreshableVersion="3" useAutoFormatting="1" subtotalHiddenItems="1" itemPrintTitles="1" createdVersion="5" indent="0" multipleFieldFilters="0">
  <location ref="A11:A12" firstHeaderRow="1" firstDataRow="1" firstDataCol="0"/>
  <pivotFields count="3">
    <pivotField dataField="1" showAll="0"/>
    <pivotField allDrilled="1" showAll="0" dataSourceSort="1" defaultAttributeDrillState="1"/>
    <pivotField allDrilled="1" showAll="0" dataSourceSort="1" defaultAttributeDrillState="1"/>
  </pivotFields>
  <rowItems count="1">
    <i/>
  </rowItems>
  <colItems count="1">
    <i/>
  </colItems>
  <dataFields count="1">
    <dataField name="Average of Patient Satisfaction Score" fld="0" subtotal="average" baseField="0" baseItem="0"/>
  </dataFields>
  <formats count="1">
    <format dxfId="133">
      <pivotArea outline="0" collapsedLevelsAreSubtotals="1" fieldPosition="0"/>
    </format>
  </formats>
  <pivotHierarchies count="36">
    <pivotHierarchy dragToData="1"/>
    <pivotHierarchy multipleItemSelectionAllowed="1" dragToData="1">
      <members count="1" level="1">
        <member name="[Callender_Table].[Date (Month)].&amp;[Jun]"/>
      </members>
    </pivotHierarchy>
    <pivotHierarchy dragToData="1"/>
    <pivotHierarchy multipleItemSelectionAllowed="1" dragToData="1">
      <members count="1" level="1">
        <member name="[Callender_Table].[Date (Year)].&amp;[2024]"/>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caption="Average of Patient Waittime"/>
    <pivotHierarchy dragToData="1"/>
    <pivotHierarchy dragToData="1" caption="Average of Patient Satisfaction Score"/>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lender_Table]"/>
      </x15:pivotTableUISettings>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C2A1F873-DABE-4916-9A11-3014DC12202A}" name="PivotTable12" cacheId="243" applyNumberFormats="0" applyBorderFormats="0" applyFontFormats="0" applyPatternFormats="0" applyAlignmentFormats="0" applyWidthHeightFormats="1" dataCaption="Values" tag="3ba2ae74-9a59-49fd-aaee-361f36c2b37e" updatedVersion="8" minRefreshableVersion="3" subtotalHiddenItems="1" itemPrintTitles="1" createdVersion="5" indent="0" multipleFieldFilters="0" chartFormat="25">
  <location ref="A69:B78" firstHeaderRow="1" firstDataRow="1" firstDataCol="1"/>
  <pivotFields count="4">
    <pivotField allDrilled="1" showAll="0" dataSourceSort="1" defaultAttributeDrillState="1"/>
    <pivotField axis="axisRow" allDrilled="1" showAll="0" sortType="ascending" defaultAttributeDrillState="1">
      <items count="9">
        <item x="0"/>
        <item x="1"/>
        <item x="2"/>
        <item x="3"/>
        <item x="4"/>
        <item x="5"/>
        <item x="6"/>
        <item x="7"/>
        <item t="default"/>
      </items>
      <autoSortScope>
        <pivotArea dataOnly="0" outline="0" fieldPosition="0">
          <references count="1">
            <reference field="4294967294" count="1" selected="0">
              <x v="0"/>
            </reference>
          </references>
        </pivotArea>
      </autoSortScope>
    </pivotField>
    <pivotField dataField="1" showAll="0"/>
    <pivotField allDrilled="1" showAll="0" dataSourceSort="1" defaultAttributeDrillState="1"/>
  </pivotFields>
  <rowFields count="1">
    <field x="1"/>
  </rowFields>
  <rowItems count="9">
    <i>
      <x v="7"/>
    </i>
    <i>
      <x v="6"/>
    </i>
    <i>
      <x v="3"/>
    </i>
    <i>
      <x v="1"/>
    </i>
    <i>
      <x/>
    </i>
    <i>
      <x v="5"/>
    </i>
    <i>
      <x v="2"/>
    </i>
    <i>
      <x v="4"/>
    </i>
    <i t="grand">
      <x/>
    </i>
  </rowItems>
  <colItems count="1">
    <i/>
  </colItems>
  <dataFields count="1">
    <dataField name="Count of Department Referral" fld="2" subtotal="count" baseField="0" baseItem="0"/>
  </dataFields>
  <formats count="2">
    <format dxfId="135">
      <pivotArea outline="0" collapsedLevelsAreSubtotals="1" fieldPosition="0"/>
    </format>
    <format dxfId="134">
      <pivotArea dataOnly="0" labelOnly="1" outline="0" axis="axisValues" fieldPosition="0"/>
    </format>
  </formats>
  <chartFormats count="3">
    <chartFormat chart="21" format="0" series="1">
      <pivotArea type="data" outline="0" fieldPosition="0">
        <references count="1">
          <reference field="4294967294" count="1" selected="0">
            <x v="0"/>
          </reference>
        </references>
      </pivotArea>
    </chartFormat>
    <chartFormat chart="23" format="1" series="1">
      <pivotArea type="data" outline="0" fieldPosition="0">
        <references count="1">
          <reference field="4294967294" count="1" selected="0">
            <x v="0"/>
          </reference>
        </references>
      </pivotArea>
    </chartFormat>
    <chartFormat chart="24" format="2" series="1">
      <pivotArea type="data" outline="0" fieldPosition="0">
        <references count="1">
          <reference field="4294967294" count="1" selected="0">
            <x v="0"/>
          </reference>
        </references>
      </pivotArea>
    </chartFormat>
  </chartFormats>
  <pivotHierarchies count="36">
    <pivotHierarchy dragToData="1"/>
    <pivotHierarchy multipleItemSelectionAllowed="1" dragToData="1">
      <members count="1" level="1">
        <member name="[Callender_Table].[Date (Month)].&amp;[Jun]"/>
      </members>
    </pivotHierarchy>
    <pivotHierarchy dragToData="1"/>
    <pivotHierarchy multipleItemSelectionAllowed="1" dragToData="1">
      <members count="1" level="1">
        <member name="[Callender_Table].[Date (Year)].&amp;[2024]"/>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caption="Average of Patient Waittime"/>
    <pivotHierarchy dragToData="1"/>
    <pivotHierarchy dragToData="1" caption="Average of Patient Satisfaction Score"/>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lender_Table]"/>
      </x15:pivotTableUISettings>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__Month" xr10:uid="{C9E7E8D8-0D9A-4914-9101-A5974D26DB61}" sourceName="[Callender_Table].[Date (Month)]">
  <pivotTables>
    <pivotTable tabId="1" name="PivotTable4"/>
    <pivotTable tabId="1" name="PivotTable1"/>
    <pivotTable tabId="1" name="PivotTable2"/>
    <pivotTable tabId="1" name="PivotTable3"/>
    <pivotTable tabId="1" name="PivotTable5"/>
    <pivotTable tabId="1" name="PivotTable6"/>
    <pivotTable tabId="1" name="PivotTable7"/>
    <pivotTable tabId="1" name="PivotTable9"/>
    <pivotTable tabId="1" name="PivotTable10"/>
    <pivotTable tabId="1" name="PivotTable11"/>
    <pivotTable tabId="1" name="PivotTable12"/>
    <pivotTable tabId="1" name="PivotTable8"/>
  </pivotTables>
  <data>
    <olap pivotCacheId="764350302">
      <levels count="2">
        <level uniqueName="[Callender_Table].[Date (Month)].[(All)]" sourceCaption="(All)" count="0"/>
        <level uniqueName="[Callender_Table].[Date (Month)].[Date (Month)]" sourceCaption="Date (Month)" count="12">
          <ranges>
            <range startItem="0">
              <i n="[Callender_Table].[Date (Month)].&amp;[Jan]" c="Jan"/>
              <i n="[Callender_Table].[Date (Month)].&amp;[Feb]" c="Feb"/>
              <i n="[Callender_Table].[Date (Month)].&amp;[Mar]" c="Mar"/>
              <i n="[Callender_Table].[Date (Month)].&amp;[Apr]" c="Apr"/>
              <i n="[Callender_Table].[Date (Month)].&amp;[May]" c="May"/>
              <i n="[Callender_Table].[Date (Month)].&amp;[Jun]" c="Jun"/>
              <i n="[Callender_Table].[Date (Month)].&amp;[Jul]" c="Jul"/>
              <i n="[Callender_Table].[Date (Month)].&amp;[Aug]" c="Aug"/>
              <i n="[Callender_Table].[Date (Month)].&amp;[Sep]" c="Sep"/>
              <i n="[Callender_Table].[Date (Month)].&amp;[Oct]" c="Oct"/>
              <i n="[Callender_Table].[Date (Month)].&amp;[Nov]" c="Nov"/>
              <i n="[Callender_Table].[Date (Month)].&amp;[Dec]" c="Dec"/>
            </range>
          </ranges>
        </level>
      </levels>
      <selections count="1">
        <selection n="[Callender_Table].[Date (Month)].&amp;[Jun]"/>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__Year" xr10:uid="{077537DA-924C-47EA-8A34-EEC5A4B5BC14}" sourceName="[Callender_Table].[Date (Year)]">
  <pivotTables>
    <pivotTable tabId="1" name="PivotTable8"/>
    <pivotTable tabId="1" name="PivotTable1"/>
    <pivotTable tabId="1" name="PivotTable10"/>
    <pivotTable tabId="1" name="PivotTable11"/>
    <pivotTable tabId="1" name="PivotTable12"/>
    <pivotTable tabId="1" name="PivotTable2"/>
    <pivotTable tabId="1" name="PivotTable3"/>
    <pivotTable tabId="1" name="PivotTable4"/>
    <pivotTable tabId="1" name="PivotTable5"/>
    <pivotTable tabId="1" name="PivotTable6"/>
    <pivotTable tabId="1" name="PivotTable7"/>
    <pivotTable tabId="1" name="PivotTable9"/>
  </pivotTables>
  <data>
    <olap pivotCacheId="764350302">
      <levels count="2">
        <level uniqueName="[Callender_Table].[Date (Year)].[(All)]" sourceCaption="(All)" count="0"/>
        <level uniqueName="[Callender_Table].[Date (Year)].[Date (Year)]" sourceCaption="Date (Year)" count="2">
          <ranges>
            <range startItem="0">
              <i n="[Callender_Table].[Date (Year)].&amp;[2023]" c="2023"/>
              <i n="[Callender_Table].[Date (Year)].&amp;[2024]" c="2024"/>
            </range>
          </ranges>
        </level>
      </levels>
      <selections count="1">
        <selection n="[Callender_Table].[Date (Year)].&amp;[2024]"/>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Month)" xr10:uid="{3B009B61-5954-491B-B33A-F73AB58AB00B}" cache="Slicer_Date__Month" caption="Date (Month)" showCaption="0" level="1" style="SlicerStyleDark2" rowHeight="144000"/>
  <slicer name="Date (Year)" xr10:uid="{A569750A-EDA2-4942-88D4-2018B020FA5F}" cache="Slicer_Date__Year" caption="Date (Year)" columnCount="2" showCaption="0" level="1" style="SlicerStyleLight5" rowHeight="257175"/>
</slicers>
</file>

<file path=xl/theme/theme1.xml><?xml version="1.0" encoding="utf-8"?>
<a:theme xmlns:a="http://schemas.openxmlformats.org/drawingml/2006/main" name="Office Theme">
  <a:themeElements>
    <a:clrScheme name="Orange">
      <a:dk1>
        <a:srgbClr val="000000"/>
      </a:dk1>
      <a:lt1>
        <a:sysClr val="window" lastClr="FFFFFF"/>
      </a:lt1>
      <a:dk2>
        <a:srgbClr val="637052"/>
      </a:dk2>
      <a:lt2>
        <a:srgbClr val="CCDDEA"/>
      </a:lt2>
      <a:accent1>
        <a:srgbClr val="E48312"/>
      </a:accent1>
      <a:accent2>
        <a:srgbClr val="BD582C"/>
      </a:accent2>
      <a:accent3>
        <a:srgbClr val="865640"/>
      </a:accent3>
      <a:accent4>
        <a:srgbClr val="9B8357"/>
      </a:accent4>
      <a:accent5>
        <a:srgbClr val="C2BC80"/>
      </a:accent5>
      <a:accent6>
        <a:srgbClr val="94A088"/>
      </a:accent6>
      <a:hlink>
        <a:srgbClr val="2998E3"/>
      </a:hlink>
      <a:folHlink>
        <a:srgbClr val="8C8C8C"/>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54A8FC-0437-4343-BE39-E539CB59B511}">
  <dimension ref="A2:J78"/>
  <sheetViews>
    <sheetView topLeftCell="A56" workbookViewId="0">
      <selection activeCell="D70" sqref="D70:D71"/>
    </sheetView>
  </sheetViews>
  <sheetFormatPr defaultRowHeight="15" x14ac:dyDescent="0.25"/>
  <cols>
    <col min="1" max="1" width="34.85546875" bestFit="1" customWidth="1"/>
    <col min="2" max="2" width="30.28515625" bestFit="1" customWidth="1"/>
    <col min="3" max="3" width="13.42578125" bestFit="1" customWidth="1"/>
    <col min="4" max="4" width="26" bestFit="1" customWidth="1"/>
    <col min="5" max="5" width="28.85546875" bestFit="1" customWidth="1"/>
    <col min="6" max="6" width="13.42578125" bestFit="1" customWidth="1"/>
    <col min="7" max="7" width="26.5703125" bestFit="1" customWidth="1"/>
    <col min="9" max="9" width="13.42578125" bestFit="1" customWidth="1"/>
    <col min="10" max="10" width="34.85546875" bestFit="1" customWidth="1"/>
  </cols>
  <sheetData>
    <row r="2" spans="1:10" x14ac:dyDescent="0.25">
      <c r="A2" t="s">
        <v>3</v>
      </c>
      <c r="C2" t="s">
        <v>6</v>
      </c>
      <c r="F2" t="s">
        <v>7</v>
      </c>
      <c r="I2" t="s">
        <v>8</v>
      </c>
    </row>
    <row r="3" spans="1:10" x14ac:dyDescent="0.25">
      <c r="A3" t="s">
        <v>2</v>
      </c>
      <c r="C3" s="1" t="s">
        <v>0</v>
      </c>
      <c r="D3" t="s">
        <v>2</v>
      </c>
      <c r="F3" s="1" t="s">
        <v>0</v>
      </c>
      <c r="G3" t="s">
        <v>4</v>
      </c>
      <c r="I3" s="1" t="s">
        <v>0</v>
      </c>
      <c r="J3" t="s">
        <v>5</v>
      </c>
    </row>
    <row r="4" spans="1:10" x14ac:dyDescent="0.25">
      <c r="A4" s="12">
        <v>485</v>
      </c>
      <c r="C4" s="2" t="s">
        <v>43</v>
      </c>
      <c r="D4" s="12">
        <v>17</v>
      </c>
      <c r="F4" s="2" t="s">
        <v>43</v>
      </c>
      <c r="G4" s="3">
        <v>33.352941176470587</v>
      </c>
      <c r="I4" s="2" t="s">
        <v>43</v>
      </c>
      <c r="J4" s="3">
        <v>4.75</v>
      </c>
    </row>
    <row r="5" spans="1:10" x14ac:dyDescent="0.25">
      <c r="C5" s="2" t="s">
        <v>44</v>
      </c>
      <c r="D5" s="12">
        <v>10</v>
      </c>
      <c r="F5" s="2" t="s">
        <v>44</v>
      </c>
      <c r="G5" s="3">
        <v>38.4</v>
      </c>
      <c r="I5" s="2" t="s">
        <v>44</v>
      </c>
      <c r="J5" s="3">
        <v>5.2</v>
      </c>
    </row>
    <row r="6" spans="1:10" x14ac:dyDescent="0.25">
      <c r="C6" s="2" t="s">
        <v>45</v>
      </c>
      <c r="D6" s="12">
        <v>23</v>
      </c>
      <c r="F6" s="2" t="s">
        <v>45</v>
      </c>
      <c r="G6" s="3">
        <v>38.521739130434781</v>
      </c>
      <c r="I6" s="2" t="s">
        <v>45</v>
      </c>
      <c r="J6" s="3">
        <v>3.375</v>
      </c>
    </row>
    <row r="7" spans="1:10" x14ac:dyDescent="0.25">
      <c r="A7" t="s">
        <v>4</v>
      </c>
      <c r="C7" s="2" t="s">
        <v>46</v>
      </c>
      <c r="D7" s="12">
        <v>15</v>
      </c>
      <c r="F7" s="2" t="s">
        <v>46</v>
      </c>
      <c r="G7" s="3">
        <v>30.4</v>
      </c>
      <c r="I7" s="2" t="s">
        <v>46</v>
      </c>
      <c r="J7" s="3">
        <v>5.8</v>
      </c>
    </row>
    <row r="8" spans="1:10" x14ac:dyDescent="0.25">
      <c r="A8" s="3">
        <v>35.507216494845359</v>
      </c>
      <c r="C8" s="2" t="s">
        <v>47</v>
      </c>
      <c r="D8" s="12">
        <v>14</v>
      </c>
      <c r="F8" s="2" t="s">
        <v>47</v>
      </c>
      <c r="G8" s="3">
        <v>33.142857142857146</v>
      </c>
      <c r="I8" s="2" t="s">
        <v>47</v>
      </c>
      <c r="J8" s="3">
        <v>4.375</v>
      </c>
    </row>
    <row r="9" spans="1:10" x14ac:dyDescent="0.25">
      <c r="C9" s="2" t="s">
        <v>48</v>
      </c>
      <c r="D9" s="12">
        <v>11</v>
      </c>
      <c r="F9" s="2" t="s">
        <v>48</v>
      </c>
      <c r="G9" s="3">
        <v>38.18181818181818</v>
      </c>
      <c r="I9" s="2" t="s">
        <v>48</v>
      </c>
      <c r="J9" s="3">
        <v>3</v>
      </c>
    </row>
    <row r="10" spans="1:10" x14ac:dyDescent="0.25">
      <c r="C10" s="2" t="s">
        <v>49</v>
      </c>
      <c r="D10" s="12">
        <v>15</v>
      </c>
      <c r="F10" s="2" t="s">
        <v>49</v>
      </c>
      <c r="G10" s="3">
        <v>39.733333333333334</v>
      </c>
      <c r="I10" s="2" t="s">
        <v>49</v>
      </c>
      <c r="J10" s="3">
        <v>5</v>
      </c>
    </row>
    <row r="11" spans="1:10" x14ac:dyDescent="0.25">
      <c r="A11" t="s">
        <v>5</v>
      </c>
      <c r="C11" s="2" t="s">
        <v>50</v>
      </c>
      <c r="D11" s="12">
        <v>20</v>
      </c>
      <c r="F11" s="2" t="s">
        <v>50</v>
      </c>
      <c r="G11" s="3">
        <v>37</v>
      </c>
      <c r="I11" s="2" t="s">
        <v>50</v>
      </c>
      <c r="J11" s="3">
        <v>3</v>
      </c>
    </row>
    <row r="12" spans="1:10" x14ac:dyDescent="0.25">
      <c r="A12" s="3">
        <v>4.7092198581560281</v>
      </c>
      <c r="C12" s="2" t="s">
        <v>51</v>
      </c>
      <c r="D12" s="12">
        <v>21</v>
      </c>
      <c r="F12" s="2" t="s">
        <v>51</v>
      </c>
      <c r="G12" s="3">
        <v>35.61904761904762</v>
      </c>
      <c r="I12" s="2" t="s">
        <v>51</v>
      </c>
      <c r="J12" s="3">
        <v>4.9090909090909092</v>
      </c>
    </row>
    <row r="13" spans="1:10" x14ac:dyDescent="0.25">
      <c r="C13" s="2" t="s">
        <v>52</v>
      </c>
      <c r="D13" s="12">
        <v>17</v>
      </c>
      <c r="F13" s="2" t="s">
        <v>52</v>
      </c>
      <c r="G13" s="3">
        <v>34.176470588235297</v>
      </c>
      <c r="I13" s="2" t="s">
        <v>52</v>
      </c>
      <c r="J13" s="3">
        <v>3.8333333333333335</v>
      </c>
    </row>
    <row r="14" spans="1:10" x14ac:dyDescent="0.25">
      <c r="C14" s="2" t="s">
        <v>53</v>
      </c>
      <c r="D14" s="12">
        <v>17</v>
      </c>
      <c r="F14" s="2" t="s">
        <v>53</v>
      </c>
      <c r="G14" s="3">
        <v>37.176470588235297</v>
      </c>
      <c r="I14" s="2" t="s">
        <v>53</v>
      </c>
      <c r="J14" s="3">
        <v>3.875</v>
      </c>
    </row>
    <row r="15" spans="1:10" x14ac:dyDescent="0.25">
      <c r="C15" s="2" t="s">
        <v>54</v>
      </c>
      <c r="D15" s="12">
        <v>17</v>
      </c>
      <c r="F15" s="2" t="s">
        <v>54</v>
      </c>
      <c r="G15" s="3">
        <v>36.647058823529413</v>
      </c>
      <c r="I15" s="2" t="s">
        <v>54</v>
      </c>
      <c r="J15" s="3">
        <v>4.333333333333333</v>
      </c>
    </row>
    <row r="16" spans="1:10" x14ac:dyDescent="0.25">
      <c r="C16" s="2" t="s">
        <v>55</v>
      </c>
      <c r="D16" s="12">
        <v>17</v>
      </c>
      <c r="F16" s="2" t="s">
        <v>55</v>
      </c>
      <c r="G16" s="3">
        <v>34.941176470588232</v>
      </c>
      <c r="I16" s="2" t="s">
        <v>55</v>
      </c>
      <c r="J16" s="3">
        <v>3.5</v>
      </c>
    </row>
    <row r="17" spans="3:10" x14ac:dyDescent="0.25">
      <c r="C17" s="2" t="s">
        <v>56</v>
      </c>
      <c r="D17" s="12">
        <v>11</v>
      </c>
      <c r="F17" s="2" t="s">
        <v>56</v>
      </c>
      <c r="G17" s="3">
        <v>44</v>
      </c>
      <c r="I17" s="2" t="s">
        <v>56</v>
      </c>
      <c r="J17" s="3">
        <v>5.4</v>
      </c>
    </row>
    <row r="18" spans="3:10" x14ac:dyDescent="0.25">
      <c r="C18" s="2" t="s">
        <v>57</v>
      </c>
      <c r="D18" s="12">
        <v>23</v>
      </c>
      <c r="F18" s="2" t="s">
        <v>57</v>
      </c>
      <c r="G18" s="3">
        <v>38.913043478260867</v>
      </c>
      <c r="I18" s="2" t="s">
        <v>57</v>
      </c>
      <c r="J18" s="3">
        <v>5.375</v>
      </c>
    </row>
    <row r="19" spans="3:10" x14ac:dyDescent="0.25">
      <c r="C19" s="2" t="s">
        <v>58</v>
      </c>
      <c r="D19" s="12">
        <v>14</v>
      </c>
      <c r="F19" s="2" t="s">
        <v>58</v>
      </c>
      <c r="G19" s="3">
        <v>31</v>
      </c>
      <c r="I19" s="2" t="s">
        <v>58</v>
      </c>
      <c r="J19" s="3">
        <v>3.3333333333333335</v>
      </c>
    </row>
    <row r="20" spans="3:10" x14ac:dyDescent="0.25">
      <c r="C20" s="2" t="s">
        <v>59</v>
      </c>
      <c r="D20" s="12">
        <v>22</v>
      </c>
      <c r="F20" s="2" t="s">
        <v>59</v>
      </c>
      <c r="G20" s="3">
        <v>34.227272727272727</v>
      </c>
      <c r="I20" s="2" t="s">
        <v>59</v>
      </c>
      <c r="J20" s="3">
        <v>6.2</v>
      </c>
    </row>
    <row r="21" spans="3:10" x14ac:dyDescent="0.25">
      <c r="C21" s="2" t="s">
        <v>60</v>
      </c>
      <c r="D21" s="12">
        <v>16</v>
      </c>
      <c r="F21" s="2" t="s">
        <v>60</v>
      </c>
      <c r="G21" s="3">
        <v>31</v>
      </c>
      <c r="I21" s="2" t="s">
        <v>60</v>
      </c>
      <c r="J21" s="3">
        <v>1.6666666666666667</v>
      </c>
    </row>
    <row r="22" spans="3:10" x14ac:dyDescent="0.25">
      <c r="C22" s="2" t="s">
        <v>61</v>
      </c>
      <c r="D22" s="12">
        <v>13</v>
      </c>
      <c r="F22" s="2" t="s">
        <v>61</v>
      </c>
      <c r="G22" s="3">
        <v>32.153846153846153</v>
      </c>
      <c r="I22" s="2" t="s">
        <v>61</v>
      </c>
      <c r="J22" s="3">
        <v>4.5</v>
      </c>
    </row>
    <row r="23" spans="3:10" x14ac:dyDescent="0.25">
      <c r="C23" s="2" t="s">
        <v>62</v>
      </c>
      <c r="D23" s="12">
        <v>14</v>
      </c>
      <c r="F23" s="2" t="s">
        <v>62</v>
      </c>
      <c r="G23" s="3">
        <v>32.785714285714285</v>
      </c>
      <c r="I23" s="2" t="s">
        <v>62</v>
      </c>
      <c r="J23" s="3">
        <v>7.666666666666667</v>
      </c>
    </row>
    <row r="24" spans="3:10" x14ac:dyDescent="0.25">
      <c r="C24" s="2" t="s">
        <v>63</v>
      </c>
      <c r="D24" s="12">
        <v>12</v>
      </c>
      <c r="F24" s="2" t="s">
        <v>63</v>
      </c>
      <c r="G24" s="3">
        <v>30</v>
      </c>
      <c r="I24" s="2" t="s">
        <v>63</v>
      </c>
      <c r="J24" s="3">
        <v>4.4000000000000004</v>
      </c>
    </row>
    <row r="25" spans="3:10" x14ac:dyDescent="0.25">
      <c r="C25" s="2" t="s">
        <v>64</v>
      </c>
      <c r="D25" s="12">
        <v>12</v>
      </c>
      <c r="F25" s="2" t="s">
        <v>64</v>
      </c>
      <c r="G25" s="3">
        <v>33.5</v>
      </c>
      <c r="I25" s="2" t="s">
        <v>64</v>
      </c>
      <c r="J25" s="3">
        <v>6.5</v>
      </c>
    </row>
    <row r="26" spans="3:10" x14ac:dyDescent="0.25">
      <c r="C26" s="2" t="s">
        <v>65</v>
      </c>
      <c r="D26" s="12">
        <v>20</v>
      </c>
      <c r="F26" s="2" t="s">
        <v>65</v>
      </c>
      <c r="G26" s="3">
        <v>32.950000000000003</v>
      </c>
      <c r="I26" s="2" t="s">
        <v>65</v>
      </c>
      <c r="J26" s="3">
        <v>5</v>
      </c>
    </row>
    <row r="27" spans="3:10" x14ac:dyDescent="0.25">
      <c r="C27" s="2" t="s">
        <v>66</v>
      </c>
      <c r="D27" s="12">
        <v>19</v>
      </c>
      <c r="F27" s="2" t="s">
        <v>66</v>
      </c>
      <c r="G27" s="3">
        <v>35.842105263157897</v>
      </c>
      <c r="I27" s="2" t="s">
        <v>66</v>
      </c>
      <c r="J27" s="3">
        <v>5.25</v>
      </c>
    </row>
    <row r="28" spans="3:10" x14ac:dyDescent="0.25">
      <c r="C28" s="2" t="s">
        <v>67</v>
      </c>
      <c r="D28" s="12">
        <v>13</v>
      </c>
      <c r="F28" s="2" t="s">
        <v>67</v>
      </c>
      <c r="G28" s="3">
        <v>33.846153846153847</v>
      </c>
      <c r="I28" s="2" t="s">
        <v>67</v>
      </c>
      <c r="J28" s="3">
        <v>4.75</v>
      </c>
    </row>
    <row r="29" spans="3:10" x14ac:dyDescent="0.25">
      <c r="C29" s="2" t="s">
        <v>68</v>
      </c>
      <c r="D29" s="12">
        <v>15</v>
      </c>
      <c r="F29" s="2" t="s">
        <v>68</v>
      </c>
      <c r="G29" s="3">
        <v>39.06666666666667</v>
      </c>
      <c r="I29" s="2" t="s">
        <v>68</v>
      </c>
      <c r="J29" s="3">
        <v>5</v>
      </c>
    </row>
    <row r="30" spans="3:10" x14ac:dyDescent="0.25">
      <c r="C30" s="2" t="s">
        <v>69</v>
      </c>
      <c r="D30" s="12">
        <v>19</v>
      </c>
      <c r="F30" s="2" t="s">
        <v>69</v>
      </c>
      <c r="G30" s="3">
        <v>36.684210526315788</v>
      </c>
      <c r="I30" s="2" t="s">
        <v>69</v>
      </c>
      <c r="J30" s="3">
        <v>4</v>
      </c>
    </row>
    <row r="31" spans="3:10" x14ac:dyDescent="0.25">
      <c r="C31" s="2" t="s">
        <v>70</v>
      </c>
      <c r="D31" s="12">
        <v>17</v>
      </c>
      <c r="F31" s="2" t="s">
        <v>70</v>
      </c>
      <c r="G31" s="3">
        <v>33.764705882352942</v>
      </c>
      <c r="I31" s="2" t="s">
        <v>70</v>
      </c>
      <c r="J31" s="3">
        <v>5.333333333333333</v>
      </c>
    </row>
    <row r="32" spans="3:10" x14ac:dyDescent="0.25">
      <c r="C32" s="2" t="s">
        <v>71</v>
      </c>
      <c r="D32" s="12">
        <v>15</v>
      </c>
      <c r="F32" s="2" t="s">
        <v>71</v>
      </c>
      <c r="G32" s="3">
        <v>34.533333333333331</v>
      </c>
      <c r="I32" s="2" t="s">
        <v>71</v>
      </c>
      <c r="J32" s="3">
        <v>6</v>
      </c>
    </row>
    <row r="33" spans="1:10" x14ac:dyDescent="0.25">
      <c r="C33" s="2" t="s">
        <v>72</v>
      </c>
      <c r="D33" s="12">
        <v>16</v>
      </c>
      <c r="F33" s="2" t="s">
        <v>72</v>
      </c>
      <c r="G33" s="3">
        <v>42.125</v>
      </c>
      <c r="I33" s="2" t="s">
        <v>72</v>
      </c>
      <c r="J33" s="3">
        <v>6.333333333333333</v>
      </c>
    </row>
    <row r="34" spans="1:10" x14ac:dyDescent="0.25">
      <c r="C34" s="2" t="s">
        <v>1</v>
      </c>
      <c r="D34" s="12">
        <v>485</v>
      </c>
      <c r="F34" s="2" t="s">
        <v>1</v>
      </c>
      <c r="G34" s="3">
        <v>35.507216494845359</v>
      </c>
      <c r="I34" s="2" t="s">
        <v>1</v>
      </c>
      <c r="J34" s="3">
        <v>4.7092198581560281</v>
      </c>
    </row>
    <row r="38" spans="1:10" x14ac:dyDescent="0.25">
      <c r="A38" s="1" t="s">
        <v>0</v>
      </c>
      <c r="B38" t="s">
        <v>11</v>
      </c>
      <c r="C38" t="s">
        <v>12</v>
      </c>
    </row>
    <row r="39" spans="1:10" x14ac:dyDescent="0.25">
      <c r="A39" s="2" t="s">
        <v>9</v>
      </c>
      <c r="B39" s="5">
        <v>235</v>
      </c>
      <c r="C39" s="6">
        <v>0.4845360824742268</v>
      </c>
    </row>
    <row r="40" spans="1:10" x14ac:dyDescent="0.25">
      <c r="A40" s="2" t="s">
        <v>10</v>
      </c>
      <c r="B40" s="5">
        <v>250</v>
      </c>
      <c r="C40" s="6">
        <v>0.51546391752577314</v>
      </c>
    </row>
    <row r="41" spans="1:10" x14ac:dyDescent="0.25">
      <c r="A41" s="2" t="s">
        <v>1</v>
      </c>
      <c r="B41" s="5">
        <v>485</v>
      </c>
      <c r="C41" s="6">
        <v>1</v>
      </c>
    </row>
    <row r="44" spans="1:10" x14ac:dyDescent="0.25">
      <c r="A44" s="8" t="s">
        <v>13</v>
      </c>
      <c r="B44" s="9" t="s">
        <v>14</v>
      </c>
      <c r="C44" s="9" t="s">
        <v>15</v>
      </c>
      <c r="D44" s="7"/>
    </row>
    <row r="45" spans="1:10" x14ac:dyDescent="0.25">
      <c r="A45" s="10" t="str">
        <f>A40</f>
        <v>Not Admitted</v>
      </c>
      <c r="B45" s="10">
        <f>B40</f>
        <v>250</v>
      </c>
      <c r="C45" s="11">
        <f>C40</f>
        <v>0.51546391752577314</v>
      </c>
      <c r="D45" s="10"/>
    </row>
    <row r="46" spans="1:10" x14ac:dyDescent="0.25">
      <c r="A46" s="10" t="str">
        <f>A39</f>
        <v>Admitted</v>
      </c>
      <c r="B46" s="10">
        <f>B39</f>
        <v>235</v>
      </c>
      <c r="C46" s="11">
        <f>C39</f>
        <v>0.4845360824742268</v>
      </c>
      <c r="D46" s="10"/>
    </row>
    <row r="48" spans="1:10" x14ac:dyDescent="0.25">
      <c r="A48" t="s">
        <v>25</v>
      </c>
    </row>
    <row r="49" spans="1:5" x14ac:dyDescent="0.25">
      <c r="A49" s="1" t="s">
        <v>0</v>
      </c>
      <c r="B49" s="5" t="s">
        <v>24</v>
      </c>
    </row>
    <row r="50" spans="1:5" x14ac:dyDescent="0.25">
      <c r="A50" s="2" t="s">
        <v>16</v>
      </c>
      <c r="B50" s="5">
        <v>59</v>
      </c>
    </row>
    <row r="51" spans="1:5" x14ac:dyDescent="0.25">
      <c r="A51" s="2" t="s">
        <v>17</v>
      </c>
      <c r="B51" s="5">
        <v>55</v>
      </c>
    </row>
    <row r="52" spans="1:5" x14ac:dyDescent="0.25">
      <c r="A52" s="2" t="s">
        <v>18</v>
      </c>
      <c r="B52" s="5">
        <v>69</v>
      </c>
    </row>
    <row r="53" spans="1:5" x14ac:dyDescent="0.25">
      <c r="A53" s="2" t="s">
        <v>19</v>
      </c>
      <c r="B53" s="5">
        <v>64</v>
      </c>
    </row>
    <row r="54" spans="1:5" x14ac:dyDescent="0.25">
      <c r="A54" s="2" t="s">
        <v>20</v>
      </c>
      <c r="B54" s="5">
        <v>56</v>
      </c>
    </row>
    <row r="55" spans="1:5" x14ac:dyDescent="0.25">
      <c r="A55" s="2" t="s">
        <v>21</v>
      </c>
      <c r="B55" s="5">
        <v>60</v>
      </c>
    </row>
    <row r="56" spans="1:5" x14ac:dyDescent="0.25">
      <c r="A56" s="2" t="s">
        <v>22</v>
      </c>
      <c r="B56" s="5">
        <v>51</v>
      </c>
    </row>
    <row r="57" spans="1:5" x14ac:dyDescent="0.25">
      <c r="A57" s="2" t="s">
        <v>23</v>
      </c>
      <c r="B57" s="5">
        <v>71</v>
      </c>
    </row>
    <row r="58" spans="1:5" x14ac:dyDescent="0.25">
      <c r="A58" s="2" t="s">
        <v>1</v>
      </c>
      <c r="B58" s="5">
        <v>485</v>
      </c>
    </row>
    <row r="61" spans="1:5" x14ac:dyDescent="0.25">
      <c r="A61" s="2" t="s">
        <v>29</v>
      </c>
      <c r="D61" t="s">
        <v>33</v>
      </c>
    </row>
    <row r="62" spans="1:5" x14ac:dyDescent="0.25">
      <c r="A62" s="1" t="s">
        <v>0</v>
      </c>
      <c r="B62" s="5" t="s">
        <v>28</v>
      </c>
      <c r="D62" s="1" t="s">
        <v>0</v>
      </c>
      <c r="E62" s="5" t="s">
        <v>32</v>
      </c>
    </row>
    <row r="63" spans="1:5" x14ac:dyDescent="0.25">
      <c r="A63" s="2" t="s">
        <v>27</v>
      </c>
      <c r="B63" s="5">
        <v>297</v>
      </c>
      <c r="D63" s="2" t="s">
        <v>30</v>
      </c>
      <c r="E63" s="5">
        <v>239</v>
      </c>
    </row>
    <row r="64" spans="1:5" x14ac:dyDescent="0.25">
      <c r="A64" s="2" t="s">
        <v>26</v>
      </c>
      <c r="B64" s="5">
        <v>188</v>
      </c>
      <c r="D64" s="2" t="s">
        <v>31</v>
      </c>
      <c r="E64" s="5">
        <v>246</v>
      </c>
    </row>
    <row r="65" spans="1:5" x14ac:dyDescent="0.25">
      <c r="A65" s="2" t="s">
        <v>1</v>
      </c>
      <c r="B65" s="5">
        <v>485</v>
      </c>
      <c r="D65" s="2" t="s">
        <v>1</v>
      </c>
      <c r="E65" s="5">
        <v>485</v>
      </c>
    </row>
    <row r="69" spans="1:5" x14ac:dyDescent="0.25">
      <c r="A69" s="1" t="s">
        <v>0</v>
      </c>
      <c r="B69" s="5" t="s">
        <v>42</v>
      </c>
      <c r="D69" s="1" t="s">
        <v>0</v>
      </c>
    </row>
    <row r="70" spans="1:5" x14ac:dyDescent="0.25">
      <c r="A70" s="2" t="s">
        <v>41</v>
      </c>
      <c r="B70" s="5">
        <v>2</v>
      </c>
      <c r="D70" s="2" t="s">
        <v>73</v>
      </c>
    </row>
    <row r="71" spans="1:5" x14ac:dyDescent="0.25">
      <c r="A71" s="2" t="s">
        <v>40</v>
      </c>
      <c r="B71" s="5">
        <v>11</v>
      </c>
      <c r="D71" s="2" t="s">
        <v>1</v>
      </c>
    </row>
    <row r="72" spans="1:5" x14ac:dyDescent="0.25">
      <c r="A72" s="2" t="s">
        <v>37</v>
      </c>
      <c r="B72" s="5">
        <v>12</v>
      </c>
    </row>
    <row r="73" spans="1:5" x14ac:dyDescent="0.25">
      <c r="A73" s="2" t="s">
        <v>35</v>
      </c>
      <c r="B73" s="5">
        <v>12</v>
      </c>
    </row>
    <row r="74" spans="1:5" x14ac:dyDescent="0.25">
      <c r="A74" s="2" t="s">
        <v>34</v>
      </c>
      <c r="B74" s="5">
        <v>13</v>
      </c>
    </row>
    <row r="75" spans="1:5" x14ac:dyDescent="0.25">
      <c r="A75" s="2" t="s">
        <v>39</v>
      </c>
      <c r="B75" s="5">
        <v>53</v>
      </c>
    </row>
    <row r="76" spans="1:5" x14ac:dyDescent="0.25">
      <c r="A76" s="2" t="s">
        <v>36</v>
      </c>
      <c r="B76" s="5">
        <v>91</v>
      </c>
    </row>
    <row r="77" spans="1:5" x14ac:dyDescent="0.25">
      <c r="A77" s="2" t="s">
        <v>38</v>
      </c>
      <c r="B77" s="5">
        <v>291</v>
      </c>
    </row>
    <row r="78" spans="1:5" x14ac:dyDescent="0.25">
      <c r="A78" s="2" t="s">
        <v>1</v>
      </c>
      <c r="B78" s="5">
        <v>485</v>
      </c>
    </row>
  </sheetData>
  <pageMargins left="0.7" right="0.7" top="0.75" bottom="0.75" header="0.3" footer="0.3"/>
  <drawing r:id="rId1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51F76E-AE2E-48E5-896F-7DAD0A2CAC69}">
  <dimension ref="A1:M16"/>
  <sheetViews>
    <sheetView showGridLines="0" showRowColHeaders="0" tabSelected="1" zoomScale="180" zoomScaleNormal="180" workbookViewId="0">
      <selection activeCell="N20" sqref="N20"/>
    </sheetView>
  </sheetViews>
  <sheetFormatPr defaultRowHeight="15" x14ac:dyDescent="0.25"/>
  <sheetData>
    <row r="1" spans="1:13" x14ac:dyDescent="0.25">
      <c r="A1" s="4"/>
      <c r="B1" s="4"/>
      <c r="C1" s="4"/>
      <c r="D1" s="4"/>
      <c r="E1" s="4"/>
      <c r="F1" s="4"/>
      <c r="G1" s="4"/>
      <c r="H1" s="4"/>
      <c r="I1" s="4"/>
      <c r="J1" s="4"/>
      <c r="K1" s="4"/>
      <c r="L1" s="4"/>
      <c r="M1" s="4"/>
    </row>
    <row r="2" spans="1:13" x14ac:dyDescent="0.25">
      <c r="A2" s="4"/>
      <c r="B2" s="4"/>
      <c r="C2" s="4"/>
      <c r="D2" s="4"/>
      <c r="E2" s="4"/>
      <c r="F2" s="4"/>
      <c r="G2" s="4"/>
      <c r="H2" s="4"/>
      <c r="I2" s="4"/>
      <c r="J2" s="4"/>
      <c r="K2" s="4"/>
      <c r="L2" s="4"/>
      <c r="M2" s="4"/>
    </row>
    <row r="3" spans="1:13" x14ac:dyDescent="0.25">
      <c r="A3" s="4"/>
      <c r="B3" s="4"/>
      <c r="C3" s="4"/>
      <c r="D3" s="4"/>
      <c r="E3" s="4"/>
      <c r="F3" s="4"/>
      <c r="G3" s="4"/>
      <c r="H3" s="4"/>
      <c r="I3" s="4"/>
      <c r="J3" s="4"/>
      <c r="K3" s="4"/>
      <c r="L3" s="4"/>
      <c r="M3" s="4"/>
    </row>
    <row r="4" spans="1:13" x14ac:dyDescent="0.25">
      <c r="A4" s="4"/>
      <c r="B4" s="4"/>
      <c r="C4" s="4"/>
      <c r="D4" s="4"/>
      <c r="E4" s="4"/>
      <c r="F4" s="4"/>
      <c r="G4" s="4"/>
      <c r="H4" s="4"/>
      <c r="I4" s="4"/>
      <c r="J4" s="4"/>
      <c r="K4" s="4"/>
      <c r="L4" s="4"/>
      <c r="M4" s="4"/>
    </row>
    <row r="5" spans="1:13" x14ac:dyDescent="0.25">
      <c r="A5" s="4"/>
      <c r="B5" s="4"/>
      <c r="C5" s="4"/>
      <c r="D5" s="4"/>
      <c r="E5" s="4"/>
      <c r="F5" s="4"/>
      <c r="G5" s="4"/>
      <c r="H5" s="4"/>
      <c r="I5" s="4"/>
      <c r="J5" s="4"/>
      <c r="K5" s="4"/>
      <c r="L5" s="4"/>
      <c r="M5" s="4"/>
    </row>
    <row r="6" spans="1:13" x14ac:dyDescent="0.25">
      <c r="A6" s="4"/>
      <c r="B6" s="4"/>
      <c r="C6" s="4"/>
      <c r="D6" s="4"/>
      <c r="E6" s="4"/>
      <c r="F6" s="4"/>
      <c r="G6" s="4"/>
      <c r="H6" s="4"/>
      <c r="I6" s="4"/>
      <c r="J6" s="4"/>
      <c r="K6" s="4"/>
      <c r="L6" s="4"/>
      <c r="M6" s="4"/>
    </row>
    <row r="7" spans="1:13" x14ac:dyDescent="0.25">
      <c r="A7" s="4"/>
      <c r="B7" s="4"/>
      <c r="C7" s="4"/>
      <c r="D7" s="4"/>
      <c r="E7" s="4"/>
      <c r="F7" s="4"/>
      <c r="G7" s="4"/>
      <c r="H7" s="4"/>
      <c r="I7" s="4"/>
      <c r="J7" s="4"/>
      <c r="K7" s="4"/>
      <c r="L7" s="4"/>
      <c r="M7" s="4"/>
    </row>
    <row r="8" spans="1:13" x14ac:dyDescent="0.25">
      <c r="A8" s="4"/>
      <c r="B8" s="4"/>
      <c r="C8" s="4"/>
      <c r="D8" s="4"/>
      <c r="E8" s="4"/>
      <c r="F8" s="4"/>
      <c r="G8" s="4"/>
      <c r="H8" s="4"/>
      <c r="I8" s="4"/>
      <c r="J8" s="4"/>
      <c r="K8" s="4"/>
      <c r="L8" s="4"/>
      <c r="M8" s="4"/>
    </row>
    <row r="9" spans="1:13" x14ac:dyDescent="0.25">
      <c r="A9" s="4"/>
      <c r="B9" s="4"/>
      <c r="C9" s="4"/>
      <c r="D9" s="4"/>
      <c r="E9" s="4"/>
      <c r="F9" s="4"/>
      <c r="G9" s="4"/>
      <c r="H9" s="4"/>
      <c r="I9" s="4"/>
      <c r="J9" s="4"/>
      <c r="K9" s="4"/>
      <c r="L9" s="4"/>
      <c r="M9" s="4"/>
    </row>
    <row r="10" spans="1:13" x14ac:dyDescent="0.25">
      <c r="A10" s="4"/>
      <c r="B10" s="4"/>
      <c r="C10" s="4"/>
      <c r="D10" s="4"/>
      <c r="E10" s="4"/>
      <c r="F10" s="4"/>
      <c r="G10" s="4"/>
      <c r="H10" s="4"/>
      <c r="I10" s="4"/>
      <c r="J10" s="4"/>
      <c r="K10" s="4"/>
      <c r="L10" s="4"/>
      <c r="M10" s="4"/>
    </row>
    <row r="11" spans="1:13" x14ac:dyDescent="0.25">
      <c r="A11" s="4"/>
      <c r="B11" s="4"/>
      <c r="C11" s="4"/>
      <c r="D11" s="4"/>
      <c r="E11" s="4"/>
      <c r="F11" s="4"/>
      <c r="G11" s="4"/>
      <c r="H11" s="4"/>
      <c r="I11" s="4"/>
      <c r="J11" s="4"/>
      <c r="K11" s="4"/>
      <c r="L11" s="4"/>
      <c r="M11" s="4"/>
    </row>
    <row r="12" spans="1:13" x14ac:dyDescent="0.25">
      <c r="A12" s="4"/>
      <c r="B12" s="4"/>
      <c r="C12" s="4"/>
      <c r="D12" s="4"/>
      <c r="E12" s="4"/>
      <c r="F12" s="4"/>
      <c r="G12" s="4"/>
      <c r="H12" s="4"/>
      <c r="I12" s="4"/>
      <c r="J12" s="4"/>
      <c r="K12" s="4"/>
      <c r="L12" s="4"/>
      <c r="M12" s="4"/>
    </row>
    <row r="13" spans="1:13" x14ac:dyDescent="0.25">
      <c r="A13" s="4"/>
      <c r="B13" s="4"/>
      <c r="C13" s="4"/>
      <c r="D13" s="4"/>
      <c r="E13" s="4"/>
      <c r="F13" s="4"/>
      <c r="G13" s="4"/>
      <c r="H13" s="4"/>
      <c r="I13" s="4"/>
      <c r="J13" s="4"/>
      <c r="K13" s="4"/>
      <c r="L13" s="4"/>
      <c r="M13" s="4"/>
    </row>
    <row r="14" spans="1:13" x14ac:dyDescent="0.25">
      <c r="A14" s="4"/>
      <c r="B14" s="4"/>
      <c r="C14" s="4"/>
      <c r="D14" s="4"/>
      <c r="E14" s="4"/>
      <c r="F14" s="4"/>
      <c r="G14" s="4"/>
      <c r="H14" s="4"/>
      <c r="I14" s="4"/>
      <c r="J14" s="4"/>
      <c r="K14" s="4"/>
      <c r="L14" s="4"/>
      <c r="M14" s="4"/>
    </row>
    <row r="15" spans="1:13" x14ac:dyDescent="0.25">
      <c r="A15" s="4"/>
      <c r="B15" s="4"/>
      <c r="C15" s="4"/>
      <c r="D15" s="4"/>
      <c r="E15" s="4"/>
      <c r="F15" s="4"/>
      <c r="G15" s="4"/>
      <c r="H15" s="4"/>
      <c r="I15" s="4"/>
      <c r="J15" s="4"/>
      <c r="K15" s="4"/>
      <c r="L15" s="4"/>
      <c r="M15" s="4"/>
    </row>
    <row r="16" spans="1:13" ht="19.5" customHeight="1" x14ac:dyDescent="0.25">
      <c r="A16" s="4"/>
      <c r="B16" s="4"/>
      <c r="C16" s="4"/>
      <c r="D16" s="4"/>
      <c r="E16" s="4"/>
      <c r="F16" s="4"/>
      <c r="G16" s="4"/>
      <c r="H16" s="4"/>
      <c r="I16" s="4"/>
      <c r="J16" s="4"/>
      <c r="K16" s="4"/>
      <c r="L16" s="4"/>
      <c r="M16" s="4"/>
    </row>
  </sheetData>
  <pageMargins left="0.7" right="0.7" top="0.75" bottom="0.75" header="0.3" footer="0.3"/>
  <drawing r:id="rId1"/>
  <legacy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98ACCC-DCF8-4622-8AA2-A8473AEF63A2}">
  <dimension ref="A1"/>
  <sheetViews>
    <sheetView workbookViewId="0"/>
  </sheetViews>
  <sheetFormatPr defaultRowHeight="15" x14ac:dyDescent="0.25"/>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4B276E-28C5-4E00-AAF6-9CDD58738FBD}">
  <dimension ref="A1"/>
  <sheetViews>
    <sheetView workbookViewId="0"/>
  </sheetViews>
  <sheetFormatPr defaultRowHeight="15" x14ac:dyDescent="0.25"/>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C127C4-FB17-4BAF-9938-8C0318C4ECF7}">
  <dimension ref="A1"/>
  <sheetViews>
    <sheetView workbookViewId="0"/>
  </sheetViews>
  <sheetFormatPr defaultRowHeight="15" x14ac:dyDescent="0.25"/>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Props1.xml><?xml version="1.0" encoding="utf-8"?>
<ds:datastoreItem xmlns:ds="http://schemas.openxmlformats.org/officeDocument/2006/customXml" ds:itemID="{44458F0C-2AD9-4154-B8E4-FCD4796FA051}">
  <ds:schemaRefs/>
</ds:datastoreItem>
</file>

<file path=customXml/itemProps2.xml><?xml version="1.0" encoding="utf-8"?>
<ds:datastoreItem xmlns:ds="http://schemas.openxmlformats.org/officeDocument/2006/customXml" ds:itemID="{1A76927C-E7D9-4C95-B69C-7A27425CAFC0}">
  <ds:schemaRefs/>
</ds:datastoreItem>
</file>

<file path=customXml/itemProps3.xml><?xml version="1.0" encoding="utf-8"?>
<ds:datastoreItem xmlns:ds="http://schemas.openxmlformats.org/officeDocument/2006/customXml" ds:itemID="{FF47C556-390C-471C-8DB8-FE89DEBA1B9C}">
  <ds:schemaRefs/>
</ds:datastoreItem>
</file>

<file path=customXml/itemProps4.xml><?xml version="1.0" encoding="utf-8"?>
<ds:datastoreItem xmlns:ds="http://schemas.openxmlformats.org/officeDocument/2006/customXml" ds:itemID="{B2A75CBF-874B-46AE-82A9-5191E25CFFD6}">
  <ds:schemaRefs/>
</ds:datastoreItem>
</file>

<file path=customXml/itemProps5.xml><?xml version="1.0" encoding="utf-8"?>
<ds:datastoreItem xmlns:ds="http://schemas.openxmlformats.org/officeDocument/2006/customXml" ds:itemID="{4F1F7E96-F1A0-4520-AAD1-316B2A526D92}">
  <ds:schemaRefs/>
</ds:datastoreItem>
</file>

<file path=customXml/itemProps6.xml><?xml version="1.0" encoding="utf-8"?>
<ds:datastoreItem xmlns:ds="http://schemas.openxmlformats.org/officeDocument/2006/customXml" ds:itemID="{D17AE4CF-91BB-4584-BCCB-9228C809AC59}">
  <ds:schemaRefs/>
</ds:datastoreItem>
</file>

<file path=customXml/itemProps7.xml><?xml version="1.0" encoding="utf-8"?>
<ds:datastoreItem xmlns:ds="http://schemas.openxmlformats.org/officeDocument/2006/customXml" ds:itemID="{0B267EF1-5335-42A2-93D2-FAB6C8F26BB3}">
  <ds:schemaRefs/>
</ds:datastoreItem>
</file>

<file path=customXml/itemProps8.xml><?xml version="1.0" encoding="utf-8"?>
<ds:datastoreItem xmlns:ds="http://schemas.openxmlformats.org/officeDocument/2006/customXml" ds:itemID="{BA67FFEF-6EE0-4922-A01E-15FD3CAEC324}">
  <ds:schemaRefs/>
</ds:datastoreItem>
</file>

<file path=customXml/itemProps9.xml><?xml version="1.0" encoding="utf-8"?>
<ds:datastoreItem xmlns:ds="http://schemas.openxmlformats.org/officeDocument/2006/customXml" ds:itemID="{820D45BA-DC62-4E53-A21E-BE2CDAF5BDD4}">
  <ds:schemaRefs/>
</ds:datastoreItem>
</file>

<file path=customXml/itemProps10.xml><?xml version="1.0" encoding="utf-8"?>
<ds:datastoreItem xmlns:ds="http://schemas.openxmlformats.org/officeDocument/2006/customXml" ds:itemID="{CC145C3F-143F-4C81-9633-AD56E60543A1}">
  <ds:schemaRefs/>
</ds:datastoreItem>
</file>

<file path=customXml/itemProps11.xml><?xml version="1.0" encoding="utf-8"?>
<ds:datastoreItem xmlns:ds="http://schemas.openxmlformats.org/officeDocument/2006/customXml" ds:itemID="{149F3E9A-0CF0-4DDF-8C02-1B3ED65C3A6E}">
  <ds:schemaRefs/>
</ds:datastoreItem>
</file>

<file path=customXml/itemProps12.xml><?xml version="1.0" encoding="utf-8"?>
<ds:datastoreItem xmlns:ds="http://schemas.openxmlformats.org/officeDocument/2006/customXml" ds:itemID="{7EAF1AC3-DB22-494F-B6D6-674069E9E5B0}">
  <ds:schemaRefs/>
</ds:datastoreItem>
</file>

<file path=customXml/itemProps13.xml><?xml version="1.0" encoding="utf-8"?>
<ds:datastoreItem xmlns:ds="http://schemas.openxmlformats.org/officeDocument/2006/customXml" ds:itemID="{08AC975B-57BA-402A-9ADF-38BC23319D77}">
  <ds:schemaRefs/>
</ds:datastoreItem>
</file>

<file path=customXml/itemProps14.xml><?xml version="1.0" encoding="utf-8"?>
<ds:datastoreItem xmlns:ds="http://schemas.openxmlformats.org/officeDocument/2006/customXml" ds:itemID="{15C6E074-8FC6-4B5C-ABE7-417CBAB612D0}">
  <ds:schemaRefs/>
</ds:datastoreItem>
</file>

<file path=customXml/itemProps15.xml><?xml version="1.0" encoding="utf-8"?>
<ds:datastoreItem xmlns:ds="http://schemas.openxmlformats.org/officeDocument/2006/customXml" ds:itemID="{EB726E2E-2BE5-4720-92B9-4BF7BCD2EB70}">
  <ds:schemaRefs/>
</ds:datastoreItem>
</file>

<file path=customXml/itemProps16.xml><?xml version="1.0" encoding="utf-8"?>
<ds:datastoreItem xmlns:ds="http://schemas.openxmlformats.org/officeDocument/2006/customXml" ds:itemID="{FB567FC1-AA46-4109-8A12-756F37D215B4}">
  <ds:schemaRefs>
    <ds:schemaRef ds:uri="http://schemas.microsoft.com/DataMashup"/>
  </ds:schemaRefs>
</ds:datastoreItem>
</file>

<file path=customXml/itemProps17.xml><?xml version="1.0" encoding="utf-8"?>
<ds:datastoreItem xmlns:ds="http://schemas.openxmlformats.org/officeDocument/2006/customXml" ds:itemID="{C871DE25-51A1-4B91-8BB7-0029D8DF60AC}">
  <ds:schemaRefs/>
</ds:datastoreItem>
</file>

<file path=customXml/itemProps18.xml><?xml version="1.0" encoding="utf-8"?>
<ds:datastoreItem xmlns:ds="http://schemas.openxmlformats.org/officeDocument/2006/customXml" ds:itemID="{46B48671-AF11-4663-8EB0-534E1C87C06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Pivort Data</vt:lpstr>
      <vt:lpstr>Dashboard</vt:lpstr>
      <vt:lpstr>No of Patient Chart</vt:lpstr>
      <vt:lpstr>Average Wait time Chart</vt:lpstr>
      <vt:lpstr>Patient Satisifaction level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Amit Bhatt</dc:creator>
  <cp:lastModifiedBy>Amit Bhatt</cp:lastModifiedBy>
  <dcterms:created xsi:type="dcterms:W3CDTF">2025-04-14T13:14:31Z</dcterms:created>
  <dcterms:modified xsi:type="dcterms:W3CDTF">2025-06-12T06:40:06Z</dcterms:modified>
</cp:coreProperties>
</file>