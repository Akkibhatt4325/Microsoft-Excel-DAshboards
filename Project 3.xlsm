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hidePivotFieldList="1"/>
  <mc:AlternateContent xmlns:mc="http://schemas.openxmlformats.org/markup-compatibility/2006">
    <mc:Choice Requires="x15">
      <x15ac:absPath xmlns:x15ac="http://schemas.microsoft.com/office/spreadsheetml/2010/11/ac" url="C:\Users\Amit Bhatt\Desktop\"/>
    </mc:Choice>
  </mc:AlternateContent>
  <xr:revisionPtr revIDLastSave="0" documentId="13_ncr:1_{84B45157-03CF-4C09-A6D4-869082B8733F}" xr6:coauthVersionLast="47" xr6:coauthVersionMax="47" xr10:uidLastSave="{00000000-0000-0000-0000-000000000000}"/>
  <bookViews>
    <workbookView xWindow="-120" yWindow="-120" windowWidth="20730" windowHeight="11160" activeTab="2" xr2:uid="{B089EA57-6955-B74F-A268-70F7D5766DDB}"/>
  </bookViews>
  <sheets>
    <sheet name="Data" sheetId="1" r:id="rId1"/>
    <sheet name="Project 3" sheetId="7" r:id="rId2"/>
    <sheet name="Dashboard" sheetId="6" r:id="rId3"/>
  </sheets>
  <definedNames>
    <definedName name="_xlcn.WorksheetConnection_DataA1L1011" hidden="1">Data!$A$1:$L$101</definedName>
    <definedName name="Slicer_City">#N/A</definedName>
    <definedName name="Slicer_Order_Status">#N/A</definedName>
    <definedName name="Slicer_Payment_Method">#N/A</definedName>
    <definedName name="Slicer_Region">#N/A</definedName>
  </definedNames>
  <calcPr calcId="191029"/>
  <pivotCaches>
    <pivotCache cacheId="27" r:id="rId4"/>
    <pivotCache cacheId="30" r:id="rId5"/>
    <pivotCache cacheId="33" r:id="rId6"/>
    <pivotCache cacheId="36" r:id="rId7"/>
    <pivotCache cacheId="39" r:id="rId8"/>
    <pivotCache cacheId="42" r:id="rId9"/>
  </pivotCaches>
  <extLst>
    <ext xmlns:x14="http://schemas.microsoft.com/office/spreadsheetml/2009/9/main" uri="{876F7934-8845-4945-9796-88D515C7AA90}">
      <x14:pivotCaches>
        <pivotCache cacheId="6" r:id="rId10"/>
      </x14:pivotCaches>
    </ex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ata!$A$1:$L$10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7"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E6FACB-1D69-4B8F-80DB-DD4C5423687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69E0A7F-F5D3-451B-B32F-7181A45112BA}" name="WorksheetConnection_Data!$A$1:$L$101" type="102" refreshedVersion="8" minRefreshableVersion="5">
    <extLst>
      <ext xmlns:x15="http://schemas.microsoft.com/office/spreadsheetml/2010/11/main" uri="{DE250136-89BD-433C-8126-D09CA5730AF9}">
        <x15:connection id="Range" autoDelete="1">
          <x15:rangePr sourceName="_xlcn.WorksheetConnection_DataA1L1011"/>
        </x15:connection>
      </ext>
    </extLst>
  </connection>
</connections>
</file>

<file path=xl/sharedStrings.xml><?xml version="1.0" encoding="utf-8"?>
<sst xmlns="http://schemas.openxmlformats.org/spreadsheetml/2006/main" count="793" uniqueCount="56">
  <si>
    <t>Product_Category</t>
  </si>
  <si>
    <t>Customer_Segment</t>
  </si>
  <si>
    <t>Payment_Method</t>
  </si>
  <si>
    <t>Region</t>
  </si>
  <si>
    <t>Sales_Channel</t>
  </si>
  <si>
    <t>Order_Status</t>
  </si>
  <si>
    <t>Sale_Amount</t>
  </si>
  <si>
    <t>Quantity_Sold</t>
  </si>
  <si>
    <t>Discount_Rate</t>
  </si>
  <si>
    <t>Profit_Margin</t>
  </si>
  <si>
    <t>Delivery_Days</t>
  </si>
  <si>
    <t>City</t>
  </si>
  <si>
    <t>Electronics</t>
  </si>
  <si>
    <t>Individual</t>
  </si>
  <si>
    <t>Credit Card</t>
  </si>
  <si>
    <t>South</t>
  </si>
  <si>
    <t>Online</t>
  </si>
  <si>
    <t>Cancelled</t>
  </si>
  <si>
    <t>San Jose</t>
  </si>
  <si>
    <t>Clothing</t>
  </si>
  <si>
    <t>Business</t>
  </si>
  <si>
    <t>Bank Transfer</t>
  </si>
  <si>
    <t>East</t>
  </si>
  <si>
    <t>Completed</t>
  </si>
  <si>
    <t>Los Angeles</t>
  </si>
  <si>
    <t>Home &amp; Kitchen</t>
  </si>
  <si>
    <t>Wholesale</t>
  </si>
  <si>
    <t>North</t>
  </si>
  <si>
    <t>San Diego</t>
  </si>
  <si>
    <t>Sports &amp; Outdoors</t>
  </si>
  <si>
    <t>Catalog</t>
  </si>
  <si>
    <t>Returned</t>
  </si>
  <si>
    <t>Philadelphia</t>
  </si>
  <si>
    <t>Cash</t>
  </si>
  <si>
    <t>Phone</t>
  </si>
  <si>
    <t>Pending</t>
  </si>
  <si>
    <t>Phoenix</t>
  </si>
  <si>
    <t>In-store</t>
  </si>
  <si>
    <t>Dallas</t>
  </si>
  <si>
    <t>West</t>
  </si>
  <si>
    <t>New York</t>
  </si>
  <si>
    <t>PayPal</t>
  </si>
  <si>
    <t>San Antonio</t>
  </si>
  <si>
    <t>Houston</t>
  </si>
  <si>
    <t>Beauty &amp; Health</t>
  </si>
  <si>
    <t>Chicago</t>
  </si>
  <si>
    <t>Column Labels</t>
  </si>
  <si>
    <t>Grand Total</t>
  </si>
  <si>
    <t>Row Labels</t>
  </si>
  <si>
    <t>Average of Sale_Amount</t>
  </si>
  <si>
    <t>Average of Quantity_Sold</t>
  </si>
  <si>
    <t>Count of Customer_Segment</t>
  </si>
  <si>
    <t>Sum of Sale_Amount</t>
  </si>
  <si>
    <t>Sum of Quantity_Sold</t>
  </si>
  <si>
    <t>Average of Discount_Rate</t>
  </si>
  <si>
    <t>Average of Profit_Margin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</si>
</sst>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Aptos Narrow"/>
      <family val="2"/>
      <scheme val="minor"/>
    </font>
    <font>
      <b/>
      <sz val="12"/>
      <color theme="1"/>
      <name val="Aptos Narrow"/>
      <family val="2"/>
      <scheme val="minor"/>
    </font>
    <font>
      <b/>
      <sz val="11"/>
      <color theme="1"/>
      <name val="Aptos Narrow"/>
      <family val="2"/>
      <scheme val="minor"/>
    </font>
    <font>
      <sz val="12"/>
      <color theme="1"/>
      <name val="Aptos Narrow"/>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3" fillId="0" borderId="0" applyFont="0" applyFill="0" applyBorder="0" applyAlignment="0" applyProtection="0"/>
  </cellStyleXfs>
  <cellXfs count="16">
    <xf numFmtId="0" fontId="0" fillId="0" borderId="0" xfId="0"/>
    <xf numFmtId="0" fontId="2" fillId="0" borderId="1" xfId="0" applyFont="1" applyBorder="1" applyAlignment="1">
      <alignment horizontal="center" vertical="top"/>
    </xf>
    <xf numFmtId="2" fontId="0" fillId="0" borderId="0" xfId="0" applyNumberFormat="1"/>
    <xf numFmtId="1" fontId="0" fillId="0" borderId="0" xfId="0" applyNumberFormat="1"/>
    <xf numFmtId="0" fontId="1" fillId="0" borderId="0" xfId="0" applyFont="1" applyAlignment="1">
      <alignment horizontal="left"/>
    </xf>
    <xf numFmtId="9"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0" fontId="2" fillId="0" borderId="1" xfId="0" applyNumberFormat="1" applyFont="1" applyBorder="1" applyAlignment="1">
      <alignment horizontal="center" vertical="top"/>
    </xf>
    <xf numFmtId="1" fontId="0" fillId="0" borderId="0" xfId="0" pivotButton="1" applyNumberFormat="1"/>
    <xf numFmtId="1" fontId="0" fillId="0" borderId="0" xfId="0" applyNumberFormat="1" applyAlignment="1">
      <alignment horizontal="left"/>
    </xf>
    <xf numFmtId="9" fontId="0" fillId="0" borderId="0" xfId="1" applyFont="1"/>
    <xf numFmtId="0" fontId="0" fillId="0" borderId="0" xfId="0" applyNumberFormat="1"/>
    <xf numFmtId="0" fontId="0" fillId="0" borderId="0" xfId="0" pivotButton="1" applyNumberFormat="1"/>
    <xf numFmtId="0" fontId="0" fillId="0" borderId="0" xfId="0" applyNumberFormat="1" applyAlignment="1">
      <alignment horizontal="left"/>
    </xf>
  </cellXfs>
  <cellStyles count="2">
    <cellStyle name="Normal" xfId="0" builtinId="0"/>
    <cellStyle name="Percent" xfId="1" builtinId="5"/>
  </cellStyles>
  <dxfs count="28">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numFmt numFmtId="1" formatCode="0"/>
    </dxf>
    <dxf>
      <numFmt numFmtId="1" formatCode="0"/>
    </dxf>
    <dxf>
      <numFmt numFmtId="1" formatCode="0"/>
    </dxf>
    <dxf>
      <numFmt numFmtId="1" formatCode="0"/>
    </dxf>
  </dxfs>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pivotCacheDefinition" Target="pivotCache/pivotCacheDefinition4.xml"/><Relationship Id="rId12" Type="http://schemas.microsoft.com/office/2007/relationships/slicerCache" Target="slicerCaches/slicerCache2.xml"/><Relationship Id="rId17" Type="http://schemas.openxmlformats.org/officeDocument/2006/relationships/styles" Target="style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24" Type="http://schemas.openxmlformats.org/officeDocument/2006/relationships/customXml" Target="../customXml/item4.xml"/><Relationship Id="rId5" Type="http://schemas.openxmlformats.org/officeDocument/2006/relationships/pivotCacheDefinition" Target="pivotCache/pivotCacheDefinition2.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pivotCacheDefinition" Target="pivotCache/pivotCacheDefinition7.xml"/><Relationship Id="rId19" Type="http://schemas.openxmlformats.org/officeDocument/2006/relationships/powerPivotData" Target="model/item.data"/><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3.xlsm]Project 3!PivotTable1</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545417639663375"/>
          <c:y val="6.7255690073477842E-2"/>
          <c:w val="0.8598489155616279"/>
          <c:h val="0.61282903610184214"/>
        </c:manualLayout>
      </c:layout>
      <c:bar3DChart>
        <c:barDir val="col"/>
        <c:grouping val="standard"/>
        <c:varyColors val="0"/>
        <c:ser>
          <c:idx val="0"/>
          <c:order val="0"/>
          <c:tx>
            <c:strRef>
              <c:f>'Project 3'!$B$4</c:f>
              <c:strCache>
                <c:ptCount val="1"/>
                <c:pt idx="0">
                  <c:v>Average of Discount_Rate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'Project 3'!$A$5:$A$10</c:f>
              <c:strCache>
                <c:ptCount val="5"/>
                <c:pt idx="0">
                  <c:v>Home &amp; Kitchen</c:v>
                </c:pt>
                <c:pt idx="1">
                  <c:v>Beauty &amp; Health</c:v>
                </c:pt>
                <c:pt idx="2">
                  <c:v>Electronics</c:v>
                </c:pt>
                <c:pt idx="3">
                  <c:v>Sports &amp; Outdoors</c:v>
                </c:pt>
                <c:pt idx="4">
                  <c:v>Clothing</c:v>
                </c:pt>
              </c:strCache>
            </c:strRef>
          </c:cat>
          <c:val>
            <c:numRef>
              <c:f>'Project 3'!$B$5:$B$10</c:f>
              <c:numCache>
                <c:formatCode>0%</c:formatCode>
                <c:ptCount val="5"/>
                <c:pt idx="0">
                  <c:v>0.10376924367313188</c:v>
                </c:pt>
                <c:pt idx="1">
                  <c:v>9.8868350761340443E-2</c:v>
                </c:pt>
                <c:pt idx="2">
                  <c:v>0.10225209806148733</c:v>
                </c:pt>
                <c:pt idx="3">
                  <c:v>9.2065258798867913E-2</c:v>
                </c:pt>
                <c:pt idx="4">
                  <c:v>0.12948575044347371</c:v>
                </c:pt>
              </c:numCache>
            </c:numRef>
          </c:val>
          <c:extLst>
            <c:ext xmlns:c16="http://schemas.microsoft.com/office/drawing/2014/chart" uri="{C3380CC4-5D6E-409C-BE32-E72D297353CC}">
              <c16:uniqueId val="{00000000-8177-4C3A-9284-9AEEDAACFF64}"/>
            </c:ext>
          </c:extLst>
        </c:ser>
        <c:ser>
          <c:idx val="1"/>
          <c:order val="1"/>
          <c:tx>
            <c:strRef>
              <c:f>'Project 3'!$C$4</c:f>
              <c:strCache>
                <c:ptCount val="1"/>
                <c:pt idx="0">
                  <c:v>Average of Profit_Margin</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'Project 3'!$A$5:$A$10</c:f>
              <c:strCache>
                <c:ptCount val="5"/>
                <c:pt idx="0">
                  <c:v>Home &amp; Kitchen</c:v>
                </c:pt>
                <c:pt idx="1">
                  <c:v>Beauty &amp; Health</c:v>
                </c:pt>
                <c:pt idx="2">
                  <c:v>Electronics</c:v>
                </c:pt>
                <c:pt idx="3">
                  <c:v>Sports &amp; Outdoors</c:v>
                </c:pt>
                <c:pt idx="4">
                  <c:v>Clothing</c:v>
                </c:pt>
              </c:strCache>
            </c:strRef>
          </c:cat>
          <c:val>
            <c:numRef>
              <c:f>'Project 3'!$C$5:$C$10</c:f>
              <c:numCache>
                <c:formatCode>0%</c:formatCode>
                <c:ptCount val="5"/>
                <c:pt idx="0">
                  <c:v>0.21020246627897304</c:v>
                </c:pt>
                <c:pt idx="1">
                  <c:v>0.23456791522027692</c:v>
                </c:pt>
                <c:pt idx="2">
                  <c:v>0.19676548631814592</c:v>
                </c:pt>
                <c:pt idx="3">
                  <c:v>0.2098750522030508</c:v>
                </c:pt>
                <c:pt idx="4">
                  <c:v>0.20247616975178911</c:v>
                </c:pt>
              </c:numCache>
            </c:numRef>
          </c:val>
          <c:extLst>
            <c:ext xmlns:c16="http://schemas.microsoft.com/office/drawing/2014/chart" uri="{C3380CC4-5D6E-409C-BE32-E72D297353CC}">
              <c16:uniqueId val="{00000001-8177-4C3A-9284-9AEEDAACFF64}"/>
            </c:ext>
          </c:extLst>
        </c:ser>
        <c:dLbls>
          <c:showLegendKey val="0"/>
          <c:showVal val="1"/>
          <c:showCatName val="0"/>
          <c:showSerName val="0"/>
          <c:showPercent val="0"/>
          <c:showBubbleSize val="0"/>
        </c:dLbls>
        <c:gapWidth val="150"/>
        <c:shape val="box"/>
        <c:axId val="457922543"/>
        <c:axId val="457945583"/>
        <c:axId val="554554687"/>
      </c:bar3DChart>
      <c:catAx>
        <c:axId val="457922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cap="none" spc="0" normalizeH="0" baseline="0">
                <a:solidFill>
                  <a:sysClr val="windowText" lastClr="000000"/>
                </a:solidFill>
                <a:latin typeface="+mn-lt"/>
                <a:ea typeface="+mn-ea"/>
                <a:cs typeface="+mn-cs"/>
              </a:defRPr>
            </a:pPr>
            <a:endParaRPr lang="en-US"/>
          </a:p>
        </c:txPr>
        <c:crossAx val="457945583"/>
        <c:crosses val="autoZero"/>
        <c:auto val="1"/>
        <c:lblAlgn val="ctr"/>
        <c:lblOffset val="100"/>
        <c:noMultiLvlLbl val="0"/>
      </c:catAx>
      <c:valAx>
        <c:axId val="45794558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57922543"/>
        <c:crosses val="autoZero"/>
        <c:crossBetween val="between"/>
      </c:valAx>
      <c:serAx>
        <c:axId val="5545546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945583"/>
        <c:crosses val="autoZero"/>
      </c:serAx>
      <c:spPr>
        <a:noFill/>
        <a:ln>
          <a:noFill/>
        </a:ln>
        <a:effectLst/>
      </c:spPr>
    </c:plotArea>
    <c:legend>
      <c:legendPos val="r"/>
      <c:layout>
        <c:manualLayout>
          <c:xMode val="edge"/>
          <c:yMode val="edge"/>
          <c:x val="0.71338284175422595"/>
          <c:y val="0.73299519775077771"/>
          <c:w val="0.26349259240039369"/>
          <c:h val="0.25050764877279852"/>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3.xlsm]Project 3!PivotTable2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371149687299082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1.0434137342495875E-2"/>
              <c:y val="-0.275087415292261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022E-3"/>
              <c:y val="-0.183391610194840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1751E-3"/>
              <c:y val="-0.30128621674866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3282E-3"/>
              <c:y val="-0.196491010923043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336217952023874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1.5303224651503568E-16"/>
              <c:y val="-0.248888613835855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7.6516123257517839E-17"/>
              <c:y val="-0.179025143285439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261988014564058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1751E-3"/>
              <c:y val="-0.1397269411008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3056526836580679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8.3473098739966622E-3"/>
              <c:y val="-0.288186816020464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1659257425572369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1751E-3"/>
              <c:y val="-0.266354481473459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4.1736549369983502E-3"/>
              <c:y val="-0.152826341829033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
              <c:y val="-0.292553282929864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4.1736549369983502E-3"/>
              <c:y val="-0.165925742557236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0868274684991751E-3"/>
              <c:y val="-0.148459874919632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8.3473098739967003E-3"/>
              <c:y val="-0.261988014564058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4.1736549369983502E-3"/>
              <c:y val="-0.283820349111062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670777001931363E-2"/>
          <c:y val="0.16501426811456973"/>
          <c:w val="0.91531738721339073"/>
          <c:h val="0.77794880761203"/>
        </c:manualLayout>
      </c:layout>
      <c:areaChart>
        <c:grouping val="standard"/>
        <c:varyColors val="0"/>
        <c:ser>
          <c:idx val="0"/>
          <c:order val="0"/>
          <c:tx>
            <c:strRef>
              <c:f>'Project 3'!$F$4</c:f>
              <c:strCache>
                <c:ptCount val="1"/>
                <c:pt idx="0">
                  <c:v>Average of Sale_Amount</c:v>
                </c:pt>
              </c:strCache>
            </c:strRef>
          </c:tx>
          <c:spPr>
            <a:gradFill rotWithShape="1">
              <a:gsLst>
                <a:gs pos="0">
                  <a:schemeClr val="accent2">
                    <a:shade val="76000"/>
                    <a:satMod val="103000"/>
                    <a:lumMod val="102000"/>
                    <a:tint val="94000"/>
                  </a:schemeClr>
                </a:gs>
                <a:gs pos="50000">
                  <a:schemeClr val="accent2">
                    <a:shade val="76000"/>
                    <a:satMod val="110000"/>
                    <a:lumMod val="100000"/>
                    <a:shade val="100000"/>
                  </a:schemeClr>
                </a:gs>
                <a:gs pos="100000">
                  <a:schemeClr val="accent2">
                    <a:shade val="76000"/>
                    <a:lumMod val="99000"/>
                    <a:satMod val="120000"/>
                    <a:shade val="78000"/>
                  </a:schemeClr>
                </a:gs>
              </a:gsLst>
              <a:lin ang="5400000" scaled="0"/>
            </a:gradFill>
            <a:ln>
              <a:noFill/>
            </a:ln>
            <a:effectLst/>
          </c:spPr>
          <c:dPt>
            <c:idx val="0"/>
            <c:bubble3D val="0"/>
            <c:extLst>
              <c:ext xmlns:c16="http://schemas.microsoft.com/office/drawing/2014/chart" uri="{C3380CC4-5D6E-409C-BE32-E72D297353CC}">
                <c16:uniqueId val="{00000013-7CC3-40AD-A5FF-175F642B5F36}"/>
              </c:ext>
            </c:extLst>
          </c:dPt>
          <c:dPt>
            <c:idx val="1"/>
            <c:bubble3D val="0"/>
            <c:extLst>
              <c:ext xmlns:c16="http://schemas.microsoft.com/office/drawing/2014/chart" uri="{C3380CC4-5D6E-409C-BE32-E72D297353CC}">
                <c16:uniqueId val="{0000000A-7CC3-40AD-A5FF-175F642B5F36}"/>
              </c:ext>
            </c:extLst>
          </c:dPt>
          <c:dPt>
            <c:idx val="2"/>
            <c:bubble3D val="0"/>
            <c:extLst>
              <c:ext xmlns:c16="http://schemas.microsoft.com/office/drawing/2014/chart" uri="{C3380CC4-5D6E-409C-BE32-E72D297353CC}">
                <c16:uniqueId val="{0000000B-7CC3-40AD-A5FF-175F642B5F36}"/>
              </c:ext>
            </c:extLst>
          </c:dPt>
          <c:dPt>
            <c:idx val="3"/>
            <c:bubble3D val="0"/>
            <c:extLst>
              <c:ext xmlns:c16="http://schemas.microsoft.com/office/drawing/2014/chart" uri="{C3380CC4-5D6E-409C-BE32-E72D297353CC}">
                <c16:uniqueId val="{0000000C-7CC3-40AD-A5FF-175F642B5F36}"/>
              </c:ext>
            </c:extLst>
          </c:dPt>
          <c:dPt>
            <c:idx val="4"/>
            <c:bubble3D val="0"/>
            <c:extLst>
              <c:ext xmlns:c16="http://schemas.microsoft.com/office/drawing/2014/chart" uri="{C3380CC4-5D6E-409C-BE32-E72D297353CC}">
                <c16:uniqueId val="{0000000D-7CC3-40AD-A5FF-175F642B5F36}"/>
              </c:ext>
            </c:extLst>
          </c:dPt>
          <c:dPt>
            <c:idx val="5"/>
            <c:bubble3D val="0"/>
            <c:extLst>
              <c:ext xmlns:c16="http://schemas.microsoft.com/office/drawing/2014/chart" uri="{C3380CC4-5D6E-409C-BE32-E72D297353CC}">
                <c16:uniqueId val="{0000000E-7CC3-40AD-A5FF-175F642B5F36}"/>
              </c:ext>
            </c:extLst>
          </c:dPt>
          <c:dPt>
            <c:idx val="6"/>
            <c:bubble3D val="0"/>
            <c:extLst>
              <c:ext xmlns:c16="http://schemas.microsoft.com/office/drawing/2014/chart" uri="{C3380CC4-5D6E-409C-BE32-E72D297353CC}">
                <c16:uniqueId val="{0000000F-7CC3-40AD-A5FF-175F642B5F36}"/>
              </c:ext>
            </c:extLst>
          </c:dPt>
          <c:dPt>
            <c:idx val="7"/>
            <c:bubble3D val="0"/>
            <c:extLst>
              <c:ext xmlns:c16="http://schemas.microsoft.com/office/drawing/2014/chart" uri="{C3380CC4-5D6E-409C-BE32-E72D297353CC}">
                <c16:uniqueId val="{00000010-7CC3-40AD-A5FF-175F642B5F36}"/>
              </c:ext>
            </c:extLst>
          </c:dPt>
          <c:dPt>
            <c:idx val="8"/>
            <c:bubble3D val="0"/>
            <c:extLst>
              <c:ext xmlns:c16="http://schemas.microsoft.com/office/drawing/2014/chart" uri="{C3380CC4-5D6E-409C-BE32-E72D297353CC}">
                <c16:uniqueId val="{00000011-7CC3-40AD-A5FF-175F642B5F36}"/>
              </c:ext>
            </c:extLst>
          </c:dPt>
          <c:dPt>
            <c:idx val="9"/>
            <c:bubble3D val="0"/>
            <c:extLst>
              <c:ext xmlns:c16="http://schemas.microsoft.com/office/drawing/2014/chart" uri="{C3380CC4-5D6E-409C-BE32-E72D297353CC}">
                <c16:uniqueId val="{00000012-7CC3-40AD-A5FF-175F642B5F36}"/>
              </c:ext>
            </c:extLst>
          </c:dPt>
          <c:dPt>
            <c:idx val="10"/>
            <c:bubble3D val="0"/>
            <c:extLst>
              <c:ext xmlns:c16="http://schemas.microsoft.com/office/drawing/2014/chart" uri="{C3380CC4-5D6E-409C-BE32-E72D297353CC}">
                <c16:uniqueId val="{00000009-7CC3-40AD-A5FF-175F642B5F36}"/>
              </c:ext>
            </c:extLst>
          </c:dPt>
          <c:dPt>
            <c:idx val="11"/>
            <c:bubble3D val="0"/>
            <c:extLst>
              <c:ext xmlns:c16="http://schemas.microsoft.com/office/drawing/2014/chart" uri="{C3380CC4-5D6E-409C-BE32-E72D297353CC}">
                <c16:uniqueId val="{00000008-7CC3-40AD-A5FF-175F642B5F36}"/>
              </c:ext>
            </c:extLst>
          </c:dPt>
          <c:dPt>
            <c:idx val="12"/>
            <c:bubble3D val="0"/>
            <c:extLst>
              <c:ext xmlns:c16="http://schemas.microsoft.com/office/drawing/2014/chart" uri="{C3380CC4-5D6E-409C-BE32-E72D297353CC}">
                <c16:uniqueId val="{00000007-7CC3-40AD-A5FF-175F642B5F36}"/>
              </c:ext>
            </c:extLst>
          </c:dPt>
          <c:dPt>
            <c:idx val="13"/>
            <c:bubble3D val="0"/>
            <c:extLst>
              <c:ext xmlns:c16="http://schemas.microsoft.com/office/drawing/2014/chart" uri="{C3380CC4-5D6E-409C-BE32-E72D297353CC}">
                <c16:uniqueId val="{00000000-7CC3-40AD-A5FF-175F642B5F36}"/>
              </c:ext>
            </c:extLst>
          </c:dPt>
          <c:dPt>
            <c:idx val="14"/>
            <c:bubble3D val="0"/>
            <c:extLst>
              <c:ext xmlns:c16="http://schemas.microsoft.com/office/drawing/2014/chart" uri="{C3380CC4-5D6E-409C-BE32-E72D297353CC}">
                <c16:uniqueId val="{00000001-7CC3-40AD-A5FF-175F642B5F36}"/>
              </c:ext>
            </c:extLst>
          </c:dPt>
          <c:dPt>
            <c:idx val="15"/>
            <c:bubble3D val="0"/>
            <c:extLst>
              <c:ext xmlns:c16="http://schemas.microsoft.com/office/drawing/2014/chart" uri="{C3380CC4-5D6E-409C-BE32-E72D297353CC}">
                <c16:uniqueId val="{00000002-7CC3-40AD-A5FF-175F642B5F36}"/>
              </c:ext>
            </c:extLst>
          </c:dPt>
          <c:dPt>
            <c:idx val="16"/>
            <c:bubble3D val="0"/>
            <c:extLst>
              <c:ext xmlns:c16="http://schemas.microsoft.com/office/drawing/2014/chart" uri="{C3380CC4-5D6E-409C-BE32-E72D297353CC}">
                <c16:uniqueId val="{00000003-7CC3-40AD-A5FF-175F642B5F36}"/>
              </c:ext>
            </c:extLst>
          </c:dPt>
          <c:dPt>
            <c:idx val="17"/>
            <c:bubble3D val="0"/>
            <c:extLst>
              <c:ext xmlns:c16="http://schemas.microsoft.com/office/drawing/2014/chart" uri="{C3380CC4-5D6E-409C-BE32-E72D297353CC}">
                <c16:uniqueId val="{00000004-7CC3-40AD-A5FF-175F642B5F36}"/>
              </c:ext>
            </c:extLst>
          </c:dPt>
          <c:dPt>
            <c:idx val="18"/>
            <c:bubble3D val="0"/>
            <c:extLst>
              <c:ext xmlns:c16="http://schemas.microsoft.com/office/drawing/2014/chart" uri="{C3380CC4-5D6E-409C-BE32-E72D297353CC}">
                <c16:uniqueId val="{00000005-7CC3-40AD-A5FF-175F642B5F36}"/>
              </c:ext>
            </c:extLst>
          </c:dPt>
          <c:dPt>
            <c:idx val="19"/>
            <c:bubble3D val="0"/>
            <c:extLst>
              <c:ext xmlns:c16="http://schemas.microsoft.com/office/drawing/2014/chart" uri="{C3380CC4-5D6E-409C-BE32-E72D297353CC}">
                <c16:uniqueId val="{00000006-7CC3-40AD-A5FF-175F642B5F36}"/>
              </c:ext>
            </c:extLst>
          </c:dPt>
          <c:dLbls>
            <c:dLbl>
              <c:idx val="0"/>
              <c:layout>
                <c:manualLayout>
                  <c:x val="-4.1736549369983502E-3"/>
                  <c:y val="-0.283820349111062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7CC3-40AD-A5FF-175F642B5F36}"/>
                </c:ext>
              </c:extLst>
            </c:dLbl>
            <c:dLbl>
              <c:idx val="1"/>
              <c:layout>
                <c:manualLayout>
                  <c:x val="0"/>
                  <c:y val="-0.3056526836580679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CC3-40AD-A5FF-175F642B5F36}"/>
                </c:ext>
              </c:extLst>
            </c:dLbl>
            <c:dLbl>
              <c:idx val="2"/>
              <c:layout>
                <c:manualLayout>
                  <c:x val="8.3473098739966622E-3"/>
                  <c:y val="-0.288186816020464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CC3-40AD-A5FF-175F642B5F36}"/>
                </c:ext>
              </c:extLst>
            </c:dLbl>
            <c:dLbl>
              <c:idx val="3"/>
              <c:layout>
                <c:manualLayout>
                  <c:x val="0"/>
                  <c:y val="-0.1659257425572369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CC3-40AD-A5FF-175F642B5F36}"/>
                </c:ext>
              </c:extLst>
            </c:dLbl>
            <c:dLbl>
              <c:idx val="4"/>
              <c:layout>
                <c:manualLayout>
                  <c:x val="-2.0868274684991751E-3"/>
                  <c:y val="-0.266354481473459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CC3-40AD-A5FF-175F642B5F36}"/>
                </c:ext>
              </c:extLst>
            </c:dLbl>
            <c:dLbl>
              <c:idx val="5"/>
              <c:layout>
                <c:manualLayout>
                  <c:x val="-4.1736549369983502E-3"/>
                  <c:y val="-0.152826341829033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CC3-40AD-A5FF-175F642B5F36}"/>
                </c:ext>
              </c:extLst>
            </c:dLbl>
            <c:dLbl>
              <c:idx val="6"/>
              <c:layout>
                <c:manualLayout>
                  <c:x val="0"/>
                  <c:y val="-0.292553282929864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CC3-40AD-A5FF-175F642B5F36}"/>
                </c:ext>
              </c:extLst>
            </c:dLbl>
            <c:dLbl>
              <c:idx val="7"/>
              <c:layout>
                <c:manualLayout>
                  <c:x val="-4.1736549369983502E-3"/>
                  <c:y val="-0.165925742557236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CC3-40AD-A5FF-175F642B5F36}"/>
                </c:ext>
              </c:extLst>
            </c:dLbl>
            <c:dLbl>
              <c:idx val="8"/>
              <c:layout>
                <c:manualLayout>
                  <c:x val="2.0868274684991751E-3"/>
                  <c:y val="-0.148459874919632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CC3-40AD-A5FF-175F642B5F36}"/>
                </c:ext>
              </c:extLst>
            </c:dLbl>
            <c:dLbl>
              <c:idx val="9"/>
              <c:layout>
                <c:manualLayout>
                  <c:x val="8.3473098739967003E-3"/>
                  <c:y val="-0.261988014564058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7CC3-40AD-A5FF-175F642B5F36}"/>
                </c:ext>
              </c:extLst>
            </c:dLbl>
            <c:dLbl>
              <c:idx val="10"/>
              <c:layout>
                <c:manualLayout>
                  <c:x val="2.0868274684991751E-3"/>
                  <c:y val="-0.1397269411008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CC3-40AD-A5FF-175F642B5F36}"/>
                </c:ext>
              </c:extLst>
            </c:dLbl>
            <c:dLbl>
              <c:idx val="11"/>
              <c:layout>
                <c:manualLayout>
                  <c:x val="0"/>
                  <c:y val="-0.261988014564058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CC3-40AD-A5FF-175F642B5F36}"/>
                </c:ext>
              </c:extLst>
            </c:dLbl>
            <c:dLbl>
              <c:idx val="12"/>
              <c:layout>
                <c:manualLayout>
                  <c:x val="-7.6516123257517839E-17"/>
                  <c:y val="-0.1790251432854398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CC3-40AD-A5FF-175F642B5F36}"/>
                </c:ext>
              </c:extLst>
            </c:dLbl>
            <c:dLbl>
              <c:idx val="13"/>
              <c:layout>
                <c:manualLayout>
                  <c:x val="0"/>
                  <c:y val="-0.3711496872990823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CC3-40AD-A5FF-175F642B5F36}"/>
                </c:ext>
              </c:extLst>
            </c:dLbl>
            <c:dLbl>
              <c:idx val="14"/>
              <c:layout>
                <c:manualLayout>
                  <c:x val="1.0434137342495875E-2"/>
                  <c:y val="-0.27508741529226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CC3-40AD-A5FF-175F642B5F36}"/>
                </c:ext>
              </c:extLst>
            </c:dLbl>
            <c:dLbl>
              <c:idx val="15"/>
              <c:layout>
                <c:manualLayout>
                  <c:x val="2.086827468499022E-3"/>
                  <c:y val="-0.183391610194840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CC3-40AD-A5FF-175F642B5F36}"/>
                </c:ext>
              </c:extLst>
            </c:dLbl>
            <c:dLbl>
              <c:idx val="16"/>
              <c:layout>
                <c:manualLayout>
                  <c:x val="2.0868274684991751E-3"/>
                  <c:y val="-0.3012862167486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CC3-40AD-A5FF-175F642B5F36}"/>
                </c:ext>
              </c:extLst>
            </c:dLbl>
            <c:dLbl>
              <c:idx val="17"/>
              <c:layout>
                <c:manualLayout>
                  <c:x val="-2.0868274684993282E-3"/>
                  <c:y val="-0.196491010923043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CC3-40AD-A5FF-175F642B5F36}"/>
                </c:ext>
              </c:extLst>
            </c:dLbl>
            <c:dLbl>
              <c:idx val="18"/>
              <c:layout>
                <c:manualLayout>
                  <c:x val="0"/>
                  <c:y val="-0.336217952023874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CC3-40AD-A5FF-175F642B5F36}"/>
                </c:ext>
              </c:extLst>
            </c:dLbl>
            <c:dLbl>
              <c:idx val="19"/>
              <c:layout>
                <c:manualLayout>
                  <c:x val="-1.5303224651503568E-16"/>
                  <c:y val="-0.248888613835855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CC3-40AD-A5FF-175F642B5F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'Project 3'!$E$5:$E$28</c:f>
              <c:multiLvlStrCache>
                <c:ptCount val="20"/>
                <c:lvl>
                  <c:pt idx="0">
                    <c:v>Beauty &amp; Health</c:v>
                  </c:pt>
                  <c:pt idx="1">
                    <c:v>Clothing</c:v>
                  </c:pt>
                  <c:pt idx="2">
                    <c:v>Electronics</c:v>
                  </c:pt>
                  <c:pt idx="3">
                    <c:v>Home &amp; Kitchen</c:v>
                  </c:pt>
                  <c:pt idx="4">
                    <c:v>Sports &amp; Outdoors</c:v>
                  </c:pt>
                  <c:pt idx="5">
                    <c:v>Beauty &amp; Health</c:v>
                  </c:pt>
                  <c:pt idx="6">
                    <c:v>Clothing</c:v>
                  </c:pt>
                  <c:pt idx="7">
                    <c:v>Electronics</c:v>
                  </c:pt>
                  <c:pt idx="8">
                    <c:v>Home &amp; Kitchen</c:v>
                  </c:pt>
                  <c:pt idx="9">
                    <c:v>Sports &amp; Outdoors</c:v>
                  </c:pt>
                  <c:pt idx="10">
                    <c:v>Beauty &amp; Health</c:v>
                  </c:pt>
                  <c:pt idx="11">
                    <c:v>Clothing</c:v>
                  </c:pt>
                  <c:pt idx="12">
                    <c:v>Electronics</c:v>
                  </c:pt>
                  <c:pt idx="13">
                    <c:v>Home &amp; Kitchen</c:v>
                  </c:pt>
                  <c:pt idx="14">
                    <c:v>Sports &amp; Outdoors</c:v>
                  </c:pt>
                  <c:pt idx="15">
                    <c:v>Beauty &amp; Health</c:v>
                  </c:pt>
                  <c:pt idx="16">
                    <c:v>Clothing</c:v>
                  </c:pt>
                  <c:pt idx="17">
                    <c:v>Electronics</c:v>
                  </c:pt>
                  <c:pt idx="18">
                    <c:v>Home &amp; Kitchen</c:v>
                  </c:pt>
                  <c:pt idx="19">
                    <c:v>Sports &amp; Outdoors</c:v>
                  </c:pt>
                </c:lvl>
                <c:lvl>
                  <c:pt idx="0">
                    <c:v>East</c:v>
                  </c:pt>
                  <c:pt idx="5">
                    <c:v>North</c:v>
                  </c:pt>
                  <c:pt idx="10">
                    <c:v>South</c:v>
                  </c:pt>
                  <c:pt idx="15">
                    <c:v>West</c:v>
                  </c:pt>
                </c:lvl>
              </c:multiLvlStrCache>
            </c:multiLvlStrRef>
          </c:cat>
          <c:val>
            <c:numRef>
              <c:f>'Project 3'!$F$5:$F$28</c:f>
              <c:numCache>
                <c:formatCode>0</c:formatCode>
                <c:ptCount val="20"/>
                <c:pt idx="0">
                  <c:v>519.19396281159209</c:v>
                </c:pt>
                <c:pt idx="1">
                  <c:v>567.03499684177189</c:v>
                </c:pt>
                <c:pt idx="2">
                  <c:v>518.84488527484564</c:v>
                </c:pt>
                <c:pt idx="3">
                  <c:v>422.0337209270707</c:v>
                </c:pt>
                <c:pt idx="4">
                  <c:v>491.35194902674579</c:v>
                </c:pt>
                <c:pt idx="5">
                  <c:v>399.48976976025614</c:v>
                </c:pt>
                <c:pt idx="6">
                  <c:v>528.05432655984237</c:v>
                </c:pt>
                <c:pt idx="7">
                  <c:v>419.62195139603449</c:v>
                </c:pt>
                <c:pt idx="8">
                  <c:v>403.60719750147678</c:v>
                </c:pt>
                <c:pt idx="9">
                  <c:v>451.7076326583412</c:v>
                </c:pt>
                <c:pt idx="10">
                  <c:v>384.4502791495442</c:v>
                </c:pt>
                <c:pt idx="11">
                  <c:v>467.90832515030013</c:v>
                </c:pt>
                <c:pt idx="12">
                  <c:v>469.25149155223983</c:v>
                </c:pt>
                <c:pt idx="13">
                  <c:v>560.8609947163477</c:v>
                </c:pt>
                <c:pt idx="14">
                  <c:v>501.97016179244395</c:v>
                </c:pt>
                <c:pt idx="15">
                  <c:v>465.7880822955305</c:v>
                </c:pt>
                <c:pt idx="16">
                  <c:v>613.20241906056162</c:v>
                </c:pt>
                <c:pt idx="17">
                  <c:v>439.86504645121141</c:v>
                </c:pt>
                <c:pt idx="18">
                  <c:v>666.87985150597842</c:v>
                </c:pt>
                <c:pt idx="19">
                  <c:v>487.24244295380055</c:v>
                </c:pt>
              </c:numCache>
            </c:numRef>
          </c:val>
          <c:extLst>
            <c:ext xmlns:c16="http://schemas.microsoft.com/office/drawing/2014/chart" uri="{C3380CC4-5D6E-409C-BE32-E72D297353CC}">
              <c16:uniqueId val="{00000003-2BCD-4BC0-A4D0-818A5ED722E0}"/>
            </c:ext>
          </c:extLst>
        </c:ser>
        <c:ser>
          <c:idx val="1"/>
          <c:order val="1"/>
          <c:tx>
            <c:strRef>
              <c:f>'Project 3'!$G$4</c:f>
              <c:strCache>
                <c:ptCount val="1"/>
                <c:pt idx="0">
                  <c:v>Average of Quantity_Sold</c:v>
                </c:pt>
              </c:strCache>
            </c:strRef>
          </c:tx>
          <c:spPr>
            <a:gradFill rotWithShape="1">
              <a:gsLst>
                <a:gs pos="0">
                  <a:schemeClr val="accent2">
                    <a:tint val="77000"/>
                    <a:satMod val="103000"/>
                    <a:lumMod val="102000"/>
                    <a:tint val="94000"/>
                  </a:schemeClr>
                </a:gs>
                <a:gs pos="50000">
                  <a:schemeClr val="accent2">
                    <a:tint val="77000"/>
                    <a:satMod val="110000"/>
                    <a:lumMod val="100000"/>
                    <a:shade val="100000"/>
                  </a:schemeClr>
                </a:gs>
                <a:gs pos="100000">
                  <a:schemeClr val="accent2">
                    <a:tint val="77000"/>
                    <a:lumMod val="99000"/>
                    <a:satMod val="120000"/>
                    <a:shade val="78000"/>
                  </a:schemeClr>
                </a:gs>
              </a:gsLst>
              <a:lin ang="5400000" scaled="0"/>
            </a:gradFill>
            <a:ln>
              <a:noFill/>
            </a:ln>
            <a:effectLst/>
          </c:spPr>
          <c:cat>
            <c:multiLvlStrRef>
              <c:f>'Project 3'!$E$5:$E$28</c:f>
              <c:multiLvlStrCache>
                <c:ptCount val="20"/>
                <c:lvl>
                  <c:pt idx="0">
                    <c:v>Beauty &amp; Health</c:v>
                  </c:pt>
                  <c:pt idx="1">
                    <c:v>Clothing</c:v>
                  </c:pt>
                  <c:pt idx="2">
                    <c:v>Electronics</c:v>
                  </c:pt>
                  <c:pt idx="3">
                    <c:v>Home &amp; Kitchen</c:v>
                  </c:pt>
                  <c:pt idx="4">
                    <c:v>Sports &amp; Outdoors</c:v>
                  </c:pt>
                  <c:pt idx="5">
                    <c:v>Beauty &amp; Health</c:v>
                  </c:pt>
                  <c:pt idx="6">
                    <c:v>Clothing</c:v>
                  </c:pt>
                  <c:pt idx="7">
                    <c:v>Electronics</c:v>
                  </c:pt>
                  <c:pt idx="8">
                    <c:v>Home &amp; Kitchen</c:v>
                  </c:pt>
                  <c:pt idx="9">
                    <c:v>Sports &amp; Outdoors</c:v>
                  </c:pt>
                  <c:pt idx="10">
                    <c:v>Beauty &amp; Health</c:v>
                  </c:pt>
                  <c:pt idx="11">
                    <c:v>Clothing</c:v>
                  </c:pt>
                  <c:pt idx="12">
                    <c:v>Electronics</c:v>
                  </c:pt>
                  <c:pt idx="13">
                    <c:v>Home &amp; Kitchen</c:v>
                  </c:pt>
                  <c:pt idx="14">
                    <c:v>Sports &amp; Outdoors</c:v>
                  </c:pt>
                  <c:pt idx="15">
                    <c:v>Beauty &amp; Health</c:v>
                  </c:pt>
                  <c:pt idx="16">
                    <c:v>Clothing</c:v>
                  </c:pt>
                  <c:pt idx="17">
                    <c:v>Electronics</c:v>
                  </c:pt>
                  <c:pt idx="18">
                    <c:v>Home &amp; Kitchen</c:v>
                  </c:pt>
                  <c:pt idx="19">
                    <c:v>Sports &amp; Outdoors</c:v>
                  </c:pt>
                </c:lvl>
                <c:lvl>
                  <c:pt idx="0">
                    <c:v>East</c:v>
                  </c:pt>
                  <c:pt idx="5">
                    <c:v>North</c:v>
                  </c:pt>
                  <c:pt idx="10">
                    <c:v>South</c:v>
                  </c:pt>
                  <c:pt idx="15">
                    <c:v>West</c:v>
                  </c:pt>
                </c:lvl>
              </c:multiLvlStrCache>
            </c:multiLvlStrRef>
          </c:cat>
          <c:val>
            <c:numRef>
              <c:f>'Project 3'!$G$5:$G$28</c:f>
              <c:numCache>
                <c:formatCode>0</c:formatCode>
                <c:ptCount val="20"/>
                <c:pt idx="0">
                  <c:v>51.476852640594437</c:v>
                </c:pt>
                <c:pt idx="1">
                  <c:v>45.676182061842098</c:v>
                </c:pt>
                <c:pt idx="2">
                  <c:v>53.772721135712722</c:v>
                </c:pt>
                <c:pt idx="3">
                  <c:v>52.89406095725095</c:v>
                </c:pt>
                <c:pt idx="4">
                  <c:v>42.807912664931898</c:v>
                </c:pt>
                <c:pt idx="5">
                  <c:v>63.605860113551216</c:v>
                </c:pt>
                <c:pt idx="6">
                  <c:v>44.58169679742484</c:v>
                </c:pt>
                <c:pt idx="7">
                  <c:v>38.215984525412651</c:v>
                </c:pt>
                <c:pt idx="8">
                  <c:v>62.222079765891358</c:v>
                </c:pt>
                <c:pt idx="9">
                  <c:v>47.720081336177877</c:v>
                </c:pt>
                <c:pt idx="10">
                  <c:v>41.719389824964331</c:v>
                </c:pt>
                <c:pt idx="11">
                  <c:v>34.374500560804783</c:v>
                </c:pt>
                <c:pt idx="12">
                  <c:v>41.356824060435564</c:v>
                </c:pt>
                <c:pt idx="13">
                  <c:v>52.001236162755127</c:v>
                </c:pt>
                <c:pt idx="14">
                  <c:v>44.800130070976444</c:v>
                </c:pt>
                <c:pt idx="15">
                  <c:v>51.37671493474766</c:v>
                </c:pt>
                <c:pt idx="16">
                  <c:v>59.046331233405468</c:v>
                </c:pt>
                <c:pt idx="17">
                  <c:v>68.339959620879185</c:v>
                </c:pt>
                <c:pt idx="18">
                  <c:v>39.117970840767271</c:v>
                </c:pt>
                <c:pt idx="19">
                  <c:v>58.212053797623035</c:v>
                </c:pt>
              </c:numCache>
            </c:numRef>
          </c:val>
          <c:extLst>
            <c:ext xmlns:c16="http://schemas.microsoft.com/office/drawing/2014/chart" uri="{C3380CC4-5D6E-409C-BE32-E72D297353CC}">
              <c16:uniqueId val="{00000005-2BCD-4BC0-A4D0-818A5ED722E0}"/>
            </c:ext>
          </c:extLst>
        </c:ser>
        <c:dLbls>
          <c:showLegendKey val="0"/>
          <c:showVal val="0"/>
          <c:showCatName val="0"/>
          <c:showSerName val="0"/>
          <c:showPercent val="0"/>
          <c:showBubbleSize val="0"/>
        </c:dLbls>
        <c:axId val="1239322511"/>
        <c:axId val="1239312431"/>
      </c:areaChart>
      <c:catAx>
        <c:axId val="1239322511"/>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9312431"/>
        <c:crosses val="autoZero"/>
        <c:auto val="1"/>
        <c:lblAlgn val="ctr"/>
        <c:lblOffset val="100"/>
        <c:noMultiLvlLbl val="0"/>
      </c:catAx>
      <c:valAx>
        <c:axId val="1239312431"/>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9322511"/>
        <c:crosses val="autoZero"/>
        <c:crossBetween val="midCat"/>
      </c:valAx>
      <c:spPr>
        <a:noFill/>
        <a:ln>
          <a:noFill/>
        </a:ln>
        <a:effectLst/>
      </c:spPr>
    </c:plotArea>
    <c:legend>
      <c:legendPos val="r"/>
      <c:layout>
        <c:manualLayout>
          <c:xMode val="edge"/>
          <c:yMode val="edge"/>
          <c:x val="0"/>
          <c:y val="3.2672999257192435E-2"/>
          <c:w val="0.98920734908136487"/>
          <c:h val="9.41931648651892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zero"/>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3.xlsm]Project 3!PivotTable4</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rgbClr val="FF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rgbClr val="FF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3040084951082066"/>
          <c:y val="9.7051803393045588E-2"/>
          <c:w val="0.61634829617865794"/>
          <c:h val="0.86183282104386261"/>
        </c:manualLayout>
      </c:layout>
      <c:bar3DChart>
        <c:barDir val="bar"/>
        <c:grouping val="clustered"/>
        <c:varyColors val="0"/>
        <c:ser>
          <c:idx val="0"/>
          <c:order val="0"/>
          <c:tx>
            <c:strRef>
              <c:f>'Project 3'!$P$4:$P$5</c:f>
              <c:strCache>
                <c:ptCount val="1"/>
                <c:pt idx="0">
                  <c:v>Business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rgbClr val="FF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 3'!$O$6:$O$11</c:f>
              <c:strCache>
                <c:ptCount val="5"/>
                <c:pt idx="0">
                  <c:v>Beauty &amp; Health</c:v>
                </c:pt>
                <c:pt idx="1">
                  <c:v>Clothing</c:v>
                </c:pt>
                <c:pt idx="2">
                  <c:v>Electronics</c:v>
                </c:pt>
                <c:pt idx="3">
                  <c:v>Home &amp; Kitchen</c:v>
                </c:pt>
                <c:pt idx="4">
                  <c:v>Sports &amp; Outdoors</c:v>
                </c:pt>
              </c:strCache>
            </c:strRef>
          </c:cat>
          <c:val>
            <c:numRef>
              <c:f>'Project 3'!$P$6:$P$11</c:f>
              <c:numCache>
                <c:formatCode>0</c:formatCode>
                <c:ptCount val="5"/>
                <c:pt idx="0">
                  <c:v>1739.2726113310291</c:v>
                </c:pt>
                <c:pt idx="1">
                  <c:v>1031.5711951786782</c:v>
                </c:pt>
                <c:pt idx="2">
                  <c:v>2938.2661007341721</c:v>
                </c:pt>
                <c:pt idx="3">
                  <c:v>3365.6502725341002</c:v>
                </c:pt>
                <c:pt idx="4">
                  <c:v>4697.4189895783229</c:v>
                </c:pt>
              </c:numCache>
            </c:numRef>
          </c:val>
          <c:extLst>
            <c:ext xmlns:c16="http://schemas.microsoft.com/office/drawing/2014/chart" uri="{C3380CC4-5D6E-409C-BE32-E72D297353CC}">
              <c16:uniqueId val="{00000000-DE61-433C-90DA-4752ADDF14B1}"/>
            </c:ext>
          </c:extLst>
        </c:ser>
        <c:ser>
          <c:idx val="1"/>
          <c:order val="1"/>
          <c:tx>
            <c:strRef>
              <c:f>'Project 3'!$Q$4:$Q$5</c:f>
              <c:strCache>
                <c:ptCount val="1"/>
                <c:pt idx="0">
                  <c:v>Individual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rgbClr val="FF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 3'!$O$6:$O$11</c:f>
              <c:strCache>
                <c:ptCount val="5"/>
                <c:pt idx="0">
                  <c:v>Beauty &amp; Health</c:v>
                </c:pt>
                <c:pt idx="1">
                  <c:v>Clothing</c:v>
                </c:pt>
                <c:pt idx="2">
                  <c:v>Electronics</c:v>
                </c:pt>
                <c:pt idx="3">
                  <c:v>Home &amp; Kitchen</c:v>
                </c:pt>
                <c:pt idx="4">
                  <c:v>Sports &amp; Outdoors</c:v>
                </c:pt>
              </c:strCache>
            </c:strRef>
          </c:cat>
          <c:val>
            <c:numRef>
              <c:f>'Project 3'!$Q$6:$Q$11</c:f>
              <c:numCache>
                <c:formatCode>0</c:formatCode>
                <c:ptCount val="5"/>
                <c:pt idx="0">
                  <c:v>3579.8907301487206</c:v>
                </c:pt>
                <c:pt idx="1">
                  <c:v>3898.5685054131709</c:v>
                </c:pt>
                <c:pt idx="2">
                  <c:v>4267.0185152822241</c:v>
                </c:pt>
                <c:pt idx="3">
                  <c:v>1558.8771841524908</c:v>
                </c:pt>
                <c:pt idx="4">
                  <c:v>2409.6878304381703</c:v>
                </c:pt>
              </c:numCache>
            </c:numRef>
          </c:val>
          <c:extLst>
            <c:ext xmlns:c16="http://schemas.microsoft.com/office/drawing/2014/chart" uri="{C3380CC4-5D6E-409C-BE32-E72D297353CC}">
              <c16:uniqueId val="{00000005-E239-4FA0-9959-394DF1C4F331}"/>
            </c:ext>
          </c:extLst>
        </c:ser>
        <c:ser>
          <c:idx val="2"/>
          <c:order val="2"/>
          <c:tx>
            <c:strRef>
              <c:f>'Project 3'!$R$4:$R$5</c:f>
              <c:strCache>
                <c:ptCount val="1"/>
                <c:pt idx="0">
                  <c:v>Wholesale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 3'!$O$6:$O$11</c:f>
              <c:strCache>
                <c:ptCount val="5"/>
                <c:pt idx="0">
                  <c:v>Beauty &amp; Health</c:v>
                </c:pt>
                <c:pt idx="1">
                  <c:v>Clothing</c:v>
                </c:pt>
                <c:pt idx="2">
                  <c:v>Electronics</c:v>
                </c:pt>
                <c:pt idx="3">
                  <c:v>Home &amp; Kitchen</c:v>
                </c:pt>
                <c:pt idx="4">
                  <c:v>Sports &amp; Outdoors</c:v>
                </c:pt>
              </c:strCache>
            </c:strRef>
          </c:cat>
          <c:val>
            <c:numRef>
              <c:f>'Project 3'!$R$6:$R$11</c:f>
              <c:numCache>
                <c:formatCode>0</c:formatCode>
                <c:ptCount val="5"/>
                <c:pt idx="0">
                  <c:v>3497.5152059749394</c:v>
                </c:pt>
                <c:pt idx="1">
                  <c:v>3735.6798995761242</c:v>
                </c:pt>
                <c:pt idx="2">
                  <c:v>3011.585284136494</c:v>
                </c:pt>
                <c:pt idx="3">
                  <c:v>4306.2100042676666</c:v>
                </c:pt>
                <c:pt idx="4">
                  <c:v>3909.8063441897689</c:v>
                </c:pt>
              </c:numCache>
            </c:numRef>
          </c:val>
          <c:extLst>
            <c:ext xmlns:c16="http://schemas.microsoft.com/office/drawing/2014/chart" uri="{C3380CC4-5D6E-409C-BE32-E72D297353CC}">
              <c16:uniqueId val="{00000001-B84A-4BDA-A2A7-FC93A0F80875}"/>
            </c:ext>
          </c:extLst>
        </c:ser>
        <c:dLbls>
          <c:showLegendKey val="0"/>
          <c:showVal val="1"/>
          <c:showCatName val="0"/>
          <c:showSerName val="0"/>
          <c:showPercent val="0"/>
          <c:showBubbleSize val="0"/>
        </c:dLbls>
        <c:gapWidth val="150"/>
        <c:shape val="box"/>
        <c:axId val="862788079"/>
        <c:axId val="862790479"/>
        <c:axId val="0"/>
      </c:bar3DChart>
      <c:catAx>
        <c:axId val="86278807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62790479"/>
        <c:crosses val="autoZero"/>
        <c:auto val="1"/>
        <c:lblAlgn val="ctr"/>
        <c:lblOffset val="100"/>
        <c:noMultiLvlLbl val="0"/>
      </c:catAx>
      <c:valAx>
        <c:axId val="86279047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788079"/>
        <c:crosses val="autoZero"/>
        <c:crossBetween val="between"/>
      </c:valAx>
      <c:spPr>
        <a:noFill/>
        <a:ln>
          <a:noFill/>
        </a:ln>
        <a:effectLst/>
      </c:spPr>
    </c:plotArea>
    <c:legend>
      <c:legendPos val="r"/>
      <c:layout>
        <c:manualLayout>
          <c:xMode val="edge"/>
          <c:yMode val="edge"/>
          <c:x val="0"/>
          <c:y val="1.3605272540641143E-2"/>
          <c:w val="0.2375658423776654"/>
          <c:h val="0.1134461721696552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3.xlsm]Project 3!PivotTable3</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913650500494922"/>
          <c:y val="1.7943236723347914E-2"/>
          <c:w val="0.76902559055118114"/>
          <c:h val="0.83094735820223153"/>
        </c:manualLayout>
      </c:layout>
      <c:pie3DChart>
        <c:varyColors val="1"/>
        <c:ser>
          <c:idx val="0"/>
          <c:order val="0"/>
          <c:tx>
            <c:strRef>
              <c:f>'Project 3'!$J$4:$J$5</c:f>
              <c:strCache>
                <c:ptCount val="1"/>
                <c:pt idx="0">
                  <c:v>Business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A477-4F35-A442-5B492326AD7E}"/>
              </c:ext>
            </c:extLst>
          </c:dPt>
          <c:dPt>
            <c:idx val="1"/>
            <c:bubble3D val="0"/>
            <c:explosion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A477-4F35-A442-5B492326AD7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A477-4F35-A442-5B492326AD7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A477-4F35-A442-5B492326AD7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A477-4F35-A442-5B492326AD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'Project 3'!$I$6:$I$10</c:f>
              <c:strCache>
                <c:ptCount val="5"/>
                <c:pt idx="0">
                  <c:v>Beauty &amp; Health</c:v>
                </c:pt>
                <c:pt idx="1">
                  <c:v>Clothing</c:v>
                </c:pt>
                <c:pt idx="2">
                  <c:v>Electronics</c:v>
                </c:pt>
                <c:pt idx="3">
                  <c:v>Home &amp; Kitchen</c:v>
                </c:pt>
                <c:pt idx="4">
                  <c:v>Sports &amp; Outdoors</c:v>
                </c:pt>
              </c:strCache>
            </c:strRef>
          </c:cat>
          <c:val>
            <c:numRef>
              <c:f>'Project 3'!$J$6:$J$10</c:f>
              <c:numCache>
                <c:formatCode>General</c:formatCode>
                <c:ptCount val="5"/>
                <c:pt idx="0">
                  <c:v>5</c:v>
                </c:pt>
                <c:pt idx="1">
                  <c:v>2</c:v>
                </c:pt>
                <c:pt idx="2">
                  <c:v>7</c:v>
                </c:pt>
                <c:pt idx="3">
                  <c:v>7</c:v>
                </c:pt>
                <c:pt idx="4">
                  <c:v>10</c:v>
                </c:pt>
              </c:numCache>
            </c:numRef>
          </c:val>
          <c:extLst>
            <c:ext xmlns:c16="http://schemas.microsoft.com/office/drawing/2014/chart" uri="{C3380CC4-5D6E-409C-BE32-E72D297353CC}">
              <c16:uniqueId val="{0000000A-A477-4F35-A442-5B492326AD7E}"/>
            </c:ext>
          </c:extLst>
        </c:ser>
        <c:ser>
          <c:idx val="1"/>
          <c:order val="1"/>
          <c:tx>
            <c:strRef>
              <c:f>'Project 3'!$K$4:$K$5</c:f>
              <c:strCache>
                <c:ptCount val="1"/>
                <c:pt idx="0">
                  <c:v>Individual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B-3AC1-4C01-B782-757D1EC1A1F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D-3AC1-4C01-B782-757D1EC1A1F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F-3AC1-4C01-B782-757D1EC1A1F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11-3AC1-4C01-B782-757D1EC1A1F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13-3AC1-4C01-B782-757D1EC1A1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'Project 3'!$I$6:$I$10</c:f>
              <c:strCache>
                <c:ptCount val="5"/>
                <c:pt idx="0">
                  <c:v>Beauty &amp; Health</c:v>
                </c:pt>
                <c:pt idx="1">
                  <c:v>Clothing</c:v>
                </c:pt>
                <c:pt idx="2">
                  <c:v>Electronics</c:v>
                </c:pt>
                <c:pt idx="3">
                  <c:v>Home &amp; Kitchen</c:v>
                </c:pt>
                <c:pt idx="4">
                  <c:v>Sports &amp; Outdoors</c:v>
                </c:pt>
              </c:strCache>
            </c:strRef>
          </c:cat>
          <c:val>
            <c:numRef>
              <c:f>'Project 3'!$K$6:$K$10</c:f>
              <c:numCache>
                <c:formatCode>General</c:formatCode>
                <c:ptCount val="5"/>
                <c:pt idx="0">
                  <c:v>8</c:v>
                </c:pt>
                <c:pt idx="1">
                  <c:v>7</c:v>
                </c:pt>
                <c:pt idx="2">
                  <c:v>8</c:v>
                </c:pt>
                <c:pt idx="3">
                  <c:v>3</c:v>
                </c:pt>
                <c:pt idx="4">
                  <c:v>5</c:v>
                </c:pt>
              </c:numCache>
            </c:numRef>
          </c:val>
          <c:extLst>
            <c:ext xmlns:c16="http://schemas.microsoft.com/office/drawing/2014/chart" uri="{C3380CC4-5D6E-409C-BE32-E72D297353CC}">
              <c16:uniqueId val="{00000023-3369-4A18-B6A3-B259F9B3A7BC}"/>
            </c:ext>
          </c:extLst>
        </c:ser>
        <c:ser>
          <c:idx val="2"/>
          <c:order val="2"/>
          <c:tx>
            <c:strRef>
              <c:f>'Project 3'!$L$4:$L$5</c:f>
              <c:strCache>
                <c:ptCount val="1"/>
                <c:pt idx="0">
                  <c:v>Wholesale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15-6C47-47F4-94A7-C0BEA00318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17-6C47-47F4-94A7-C0BEA00318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19-6C47-47F4-94A7-C0BEA00318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1B-6C47-47F4-94A7-C0BEA00318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1D-6C47-47F4-94A7-C0BEA00318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'Project 3'!$I$6:$I$10</c:f>
              <c:strCache>
                <c:ptCount val="5"/>
                <c:pt idx="0">
                  <c:v>Beauty &amp; Health</c:v>
                </c:pt>
                <c:pt idx="1">
                  <c:v>Clothing</c:v>
                </c:pt>
                <c:pt idx="2">
                  <c:v>Electronics</c:v>
                </c:pt>
                <c:pt idx="3">
                  <c:v>Home &amp; Kitchen</c:v>
                </c:pt>
                <c:pt idx="4">
                  <c:v>Sports &amp; Outdoors</c:v>
                </c:pt>
              </c:strCache>
            </c:strRef>
          </c:cat>
          <c:val>
            <c:numRef>
              <c:f>'Project 3'!$L$6:$L$10</c:f>
              <c:numCache>
                <c:formatCode>General</c:formatCode>
                <c:ptCount val="5"/>
                <c:pt idx="0">
                  <c:v>7</c:v>
                </c:pt>
                <c:pt idx="1">
                  <c:v>7</c:v>
                </c:pt>
                <c:pt idx="2">
                  <c:v>7</c:v>
                </c:pt>
                <c:pt idx="3">
                  <c:v>9</c:v>
                </c:pt>
                <c:pt idx="4">
                  <c:v>8</c:v>
                </c:pt>
              </c:numCache>
            </c:numRef>
          </c:val>
          <c:extLst>
            <c:ext xmlns:c16="http://schemas.microsoft.com/office/drawing/2014/chart" uri="{C3380CC4-5D6E-409C-BE32-E72D297353CC}">
              <c16:uniqueId val="{0000001F-3AC1-4C01-B782-757D1EC1A1F0}"/>
            </c:ext>
          </c:extLst>
        </c:ser>
        <c:dLbls>
          <c:dLblPos val="outEnd"/>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2.6230533683289536E-2"/>
          <c:y val="0.71022041982727824"/>
          <c:w val="0.29347635970456587"/>
          <c:h val="0.28977958017272171"/>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3.xlsm]Project 3!PivotTable6</c:name>
    <c:fmtId val="5"/>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solidFill>
              <a:schemeClr val="lt1"/>
            </a:solidFill>
            <a:ln w="19050" cap="flat" cmpd="sng" algn="ctr">
              <a:solidFill>
                <a:schemeClr val="bg1"/>
              </a:solidFill>
              <a:prstDash val="solid"/>
              <a:miter lim="800000"/>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'Project 3'!$Y$4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0DB-4E3B-9286-B2AF5E2C228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0DB-4E3B-9286-B2AF5E2C228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0DB-4E3B-9286-B2AF5E2C228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0DB-4E3B-9286-B2AF5E2C2282}"/>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0DB-4E3B-9286-B2AF5E2C2282}"/>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0DB-4E3B-9286-B2AF5E2C2282}"/>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0DB-4E3B-9286-B2AF5E2C2282}"/>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50DB-4E3B-9286-B2AF5E2C2282}"/>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50DB-4E3B-9286-B2AF5E2C2282}"/>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50DB-4E3B-9286-B2AF5E2C2282}"/>
              </c:ext>
            </c:extLst>
          </c:dPt>
          <c:dLbls>
            <c:spPr>
              <a:solidFill>
                <a:schemeClr val="lt1"/>
              </a:solidFill>
              <a:ln w="19050" cap="flat" cmpd="sng" algn="ctr">
                <a:solidFill>
                  <a:schemeClr val="bg1"/>
                </a:solidFill>
                <a:prstDash val="solid"/>
                <a:miter lim="800000"/>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'Project 3'!$X$5:$X$15</c:f>
              <c:strCache>
                <c:ptCount val="10"/>
                <c:pt idx="0">
                  <c:v>Chicago</c:v>
                </c:pt>
                <c:pt idx="1">
                  <c:v>Dallas</c:v>
                </c:pt>
                <c:pt idx="2">
                  <c:v>Houston</c:v>
                </c:pt>
                <c:pt idx="3">
                  <c:v>Los Angeles</c:v>
                </c:pt>
                <c:pt idx="4">
                  <c:v>New York</c:v>
                </c:pt>
                <c:pt idx="5">
                  <c:v>Philadelphia</c:v>
                </c:pt>
                <c:pt idx="6">
                  <c:v>Phoenix</c:v>
                </c:pt>
                <c:pt idx="7">
                  <c:v>San Antonio</c:v>
                </c:pt>
                <c:pt idx="8">
                  <c:v>San Diego</c:v>
                </c:pt>
                <c:pt idx="9">
                  <c:v>San Jose</c:v>
                </c:pt>
              </c:strCache>
            </c:strRef>
          </c:cat>
          <c:val>
            <c:numRef>
              <c:f>'Project 3'!$Y$5:$Y$15</c:f>
              <c:numCache>
                <c:formatCode>0</c:formatCode>
                <c:ptCount val="10"/>
                <c:pt idx="0">
                  <c:v>4051.765040872428</c:v>
                </c:pt>
                <c:pt idx="1">
                  <c:v>4268.7974215895993</c:v>
                </c:pt>
                <c:pt idx="2">
                  <c:v>4643.1696325257672</c:v>
                </c:pt>
                <c:pt idx="3">
                  <c:v>4034.4580976967236</c:v>
                </c:pt>
                <c:pt idx="4">
                  <c:v>5195.7888427388416</c:v>
                </c:pt>
                <c:pt idx="5">
                  <c:v>7210.761038644353</c:v>
                </c:pt>
                <c:pt idx="6">
                  <c:v>6328.228802193702</c:v>
                </c:pt>
                <c:pt idx="7">
                  <c:v>1961.6526196513037</c:v>
                </c:pt>
                <c:pt idx="8">
                  <c:v>6459.7492617189573</c:v>
                </c:pt>
                <c:pt idx="9">
                  <c:v>3792.6479153043965</c:v>
                </c:pt>
              </c:numCache>
            </c:numRef>
          </c:val>
          <c:extLst>
            <c:ext xmlns:c16="http://schemas.microsoft.com/office/drawing/2014/chart" uri="{C3380CC4-5D6E-409C-BE32-E72D297353CC}">
              <c16:uniqueId val="{00000014-50DB-4E3B-9286-B2AF5E2C2282}"/>
            </c:ext>
          </c:extLst>
        </c:ser>
        <c:dLbls>
          <c:showLegendKey val="0"/>
          <c:showVal val="0"/>
          <c:showCatName val="0"/>
          <c:showSerName val="0"/>
          <c:showPercent val="0"/>
          <c:showBubbleSize val="0"/>
          <c:showLeaderLines val="0"/>
        </c:dLbls>
      </c:pie3DChart>
      <c:spPr>
        <a:noFill/>
        <a:ln>
          <a:noFill/>
        </a:ln>
        <a:effectLst/>
      </c:spPr>
    </c:plotArea>
    <c:legend>
      <c:legendPos val="r"/>
      <c:layout>
        <c:manualLayout>
          <c:xMode val="edge"/>
          <c:yMode val="edge"/>
          <c:x val="0.83447018214855073"/>
          <c:y val="1.9453292073899318E-2"/>
          <c:w val="0.1483782082336601"/>
          <c:h val="0.92996476607739209"/>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chart" Target="../charts/chart2.xml"/><Relationship Id="rId16" Type="http://schemas.openxmlformats.org/officeDocument/2006/relationships/image" Target="../media/image11.png"/><Relationship Id="rId20"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2409825</xdr:colOff>
      <xdr:row>31</xdr:row>
      <xdr:rowOff>28575</xdr:rowOff>
    </xdr:from>
    <xdr:to>
      <xdr:col>4</xdr:col>
      <xdr:colOff>382361</xdr:colOff>
      <xdr:row>45</xdr:row>
      <xdr:rowOff>38100</xdr:rowOff>
    </xdr:to>
    <mc:AlternateContent xmlns:mc="http://schemas.openxmlformats.org/markup-compatibility/2006" xmlns:a14="http://schemas.microsoft.com/office/drawing/2010/main">
      <mc:Choice Requires="a14">
        <xdr:graphicFrame macro="">
          <xdr:nvGraphicFramePr>
            <xdr:cNvPr id="6" name="Order_Status">
              <a:extLst>
                <a:ext uri="{FF2B5EF4-FFF2-40B4-BE49-F238E27FC236}">
                  <a16:creationId xmlns:a16="http://schemas.microsoft.com/office/drawing/2014/main" id="{B8E63B70-14B1-2998-230A-E1A75651EB2F}"/>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6410325" y="6524625"/>
              <a:ext cx="1828800" cy="2943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609600</xdr:colOff>
      <xdr:row>30</xdr:row>
      <xdr:rowOff>133350</xdr:rowOff>
    </xdr:from>
    <xdr:to>
      <xdr:col>5</xdr:col>
      <xdr:colOff>1012371</xdr:colOff>
      <xdr:row>44</xdr:row>
      <xdr:rowOff>9525</xdr:rowOff>
    </xdr:to>
    <mc:AlternateContent xmlns:mc="http://schemas.openxmlformats.org/markup-compatibility/2006" xmlns:a14="http://schemas.microsoft.com/office/drawing/2010/main">
      <mc:Choice Requires="a14">
        <xdr:graphicFrame macro="">
          <xdr:nvGraphicFramePr>
            <xdr:cNvPr id="7" name="Payment_Method">
              <a:extLst>
                <a:ext uri="{FF2B5EF4-FFF2-40B4-BE49-F238E27FC236}">
                  <a16:creationId xmlns:a16="http://schemas.microsoft.com/office/drawing/2014/main" id="{26225E40-2BDB-F039-A370-1706810D80E5}"/>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8515350" y="641985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194468</xdr:colOff>
      <xdr:row>0</xdr:row>
      <xdr:rowOff>0</xdr:rowOff>
    </xdr:from>
    <xdr:to>
      <xdr:col>24</xdr:col>
      <xdr:colOff>107156</xdr:colOff>
      <xdr:row>43</xdr:row>
      <xdr:rowOff>142875</xdr:rowOff>
    </xdr:to>
    <xdr:sp macro="" textlink="">
      <xdr:nvSpPr>
        <xdr:cNvPr id="14" name="Rectangle 13">
          <a:extLst>
            <a:ext uri="{FF2B5EF4-FFF2-40B4-BE49-F238E27FC236}">
              <a16:creationId xmlns:a16="http://schemas.microsoft.com/office/drawing/2014/main" id="{08180D8D-E7A2-BFE1-54B5-CACFD4BB2484}"/>
            </a:ext>
          </a:extLst>
        </xdr:cNvPr>
        <xdr:cNvSpPr/>
      </xdr:nvSpPr>
      <xdr:spPr>
        <a:xfrm>
          <a:off x="194468" y="0"/>
          <a:ext cx="17379157" cy="8846344"/>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solidFill>
              <a:srgbClr val="7030A0"/>
            </a:solidFill>
          </a:endParaRPr>
        </a:p>
      </xdr:txBody>
    </xdr:sp>
    <xdr:clientData/>
  </xdr:twoCellAnchor>
  <xdr:twoCellAnchor>
    <xdr:from>
      <xdr:col>0</xdr:col>
      <xdr:colOff>188118</xdr:colOff>
      <xdr:row>12</xdr:row>
      <xdr:rowOff>23018</xdr:rowOff>
    </xdr:from>
    <xdr:to>
      <xdr:col>1</xdr:col>
      <xdr:colOff>245268</xdr:colOff>
      <xdr:row>38</xdr:row>
      <xdr:rowOff>191294</xdr:rowOff>
    </xdr:to>
    <xdr:sp macro="" textlink="">
      <xdr:nvSpPr>
        <xdr:cNvPr id="5" name="Rectangle 4">
          <a:extLst>
            <a:ext uri="{FF2B5EF4-FFF2-40B4-BE49-F238E27FC236}">
              <a16:creationId xmlns:a16="http://schemas.microsoft.com/office/drawing/2014/main" id="{C9E8E670-E8A9-3043-DECF-27671DA1F7A1}"/>
            </a:ext>
          </a:extLst>
        </xdr:cNvPr>
        <xdr:cNvSpPr/>
      </xdr:nvSpPr>
      <xdr:spPr>
        <a:xfrm>
          <a:off x="188118" y="2499518"/>
          <a:ext cx="1231900" cy="5534026"/>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142873</xdr:colOff>
      <xdr:row>0</xdr:row>
      <xdr:rowOff>92075</xdr:rowOff>
    </xdr:from>
    <xdr:to>
      <xdr:col>7</xdr:col>
      <xdr:colOff>428625</xdr:colOff>
      <xdr:row>4</xdr:row>
      <xdr:rowOff>158750</xdr:rowOff>
    </xdr:to>
    <xdr:sp macro="" textlink="">
      <xdr:nvSpPr>
        <xdr:cNvPr id="9" name="Rectangle: Rounded Corners 8">
          <a:extLst>
            <a:ext uri="{FF2B5EF4-FFF2-40B4-BE49-F238E27FC236}">
              <a16:creationId xmlns:a16="http://schemas.microsoft.com/office/drawing/2014/main" id="{E534C225-7E2E-72A1-9E80-3FA5C60FEF6A}"/>
            </a:ext>
          </a:extLst>
        </xdr:cNvPr>
        <xdr:cNvSpPr/>
      </xdr:nvSpPr>
      <xdr:spPr>
        <a:xfrm>
          <a:off x="142873" y="92075"/>
          <a:ext cx="5984877" cy="892175"/>
        </a:xfrm>
        <a:prstGeom prst="roundRect">
          <a:avLst/>
        </a:prstGeom>
        <a:scene3d>
          <a:camera prst="orthographicFront"/>
          <a:lightRig rig="threePt" dir="t"/>
        </a:scene3d>
        <a:sp3d>
          <a:bevelT prst="slop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t>           </a:t>
          </a:r>
          <a:r>
            <a:rPr lang="en-IN" sz="3200"/>
            <a:t>SALES</a:t>
          </a:r>
          <a:r>
            <a:rPr lang="en-IN" sz="3200" baseline="0"/>
            <a:t> ANALYSIS DASHBOARD</a:t>
          </a:r>
          <a:endParaRPr lang="en-IN" sz="3200"/>
        </a:p>
      </xdr:txBody>
    </xdr:sp>
    <xdr:clientData/>
  </xdr:twoCellAnchor>
  <xdr:twoCellAnchor>
    <xdr:from>
      <xdr:col>1</xdr:col>
      <xdr:colOff>345281</xdr:colOff>
      <xdr:row>23</xdr:row>
      <xdr:rowOff>142875</xdr:rowOff>
    </xdr:from>
    <xdr:to>
      <xdr:col>9</xdr:col>
      <xdr:colOff>641236</xdr:colOff>
      <xdr:row>38</xdr:row>
      <xdr:rowOff>185737</xdr:rowOff>
    </xdr:to>
    <xdr:sp macro="" textlink="">
      <xdr:nvSpPr>
        <xdr:cNvPr id="12" name="Rectangle 11">
          <a:extLst>
            <a:ext uri="{FF2B5EF4-FFF2-40B4-BE49-F238E27FC236}">
              <a16:creationId xmlns:a16="http://schemas.microsoft.com/office/drawing/2014/main" id="{F59516A0-680E-47F0-DD79-70080A39101A}"/>
            </a:ext>
          </a:extLst>
        </xdr:cNvPr>
        <xdr:cNvSpPr/>
      </xdr:nvSpPr>
      <xdr:spPr>
        <a:xfrm>
          <a:off x="1524000" y="4798219"/>
          <a:ext cx="6225267" cy="3078956"/>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345281</xdr:colOff>
      <xdr:row>10</xdr:row>
      <xdr:rowOff>95250</xdr:rowOff>
    </xdr:from>
    <xdr:to>
      <xdr:col>5</xdr:col>
      <xdr:colOff>585106</xdr:colOff>
      <xdr:row>22</xdr:row>
      <xdr:rowOff>142875</xdr:rowOff>
    </xdr:to>
    <xdr:sp macro="" textlink="">
      <xdr:nvSpPr>
        <xdr:cNvPr id="17" name="Rectangle 16">
          <a:extLst>
            <a:ext uri="{FF2B5EF4-FFF2-40B4-BE49-F238E27FC236}">
              <a16:creationId xmlns:a16="http://schemas.microsoft.com/office/drawing/2014/main" id="{F2E38915-E16D-2A49-C1CB-0F970D1ADDA8}"/>
            </a:ext>
          </a:extLst>
        </xdr:cNvPr>
        <xdr:cNvSpPr/>
      </xdr:nvSpPr>
      <xdr:spPr>
        <a:xfrm>
          <a:off x="1524000" y="2119313"/>
          <a:ext cx="3406887" cy="2476500"/>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404812</xdr:colOff>
      <xdr:row>10</xdr:row>
      <xdr:rowOff>178595</xdr:rowOff>
    </xdr:from>
    <xdr:to>
      <xdr:col>5</xdr:col>
      <xdr:colOff>540884</xdr:colOff>
      <xdr:row>22</xdr:row>
      <xdr:rowOff>59532</xdr:rowOff>
    </xdr:to>
    <xdr:graphicFrame macro="">
      <xdr:nvGraphicFramePr>
        <xdr:cNvPr id="3" name="Chart 2">
          <a:extLst>
            <a:ext uri="{FF2B5EF4-FFF2-40B4-BE49-F238E27FC236}">
              <a16:creationId xmlns:a16="http://schemas.microsoft.com/office/drawing/2014/main" id="{296F62A4-E0FA-4C8E-9AE5-11EA07E22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258423</xdr:colOff>
      <xdr:row>12</xdr:row>
      <xdr:rowOff>193786</xdr:rowOff>
    </xdr:from>
    <xdr:to>
      <xdr:col>1</xdr:col>
      <xdr:colOff>194470</xdr:colOff>
      <xdr:row>20</xdr:row>
      <xdr:rowOff>178593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F762128-DDF5-4E1C-B9F6-DC9B88A7981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8423" y="2622662"/>
              <a:ext cx="1114766" cy="15666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254454</xdr:colOff>
      <xdr:row>21</xdr:row>
      <xdr:rowOff>93434</xdr:rowOff>
    </xdr:from>
    <xdr:to>
      <xdr:col>1</xdr:col>
      <xdr:colOff>176894</xdr:colOff>
      <xdr:row>38</xdr:row>
      <xdr:rowOff>15875</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4AACECE3-464A-4F8D-9F03-8328F72111C9}"/>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54454" y="4343965"/>
              <a:ext cx="1101159" cy="33633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416718</xdr:colOff>
      <xdr:row>24</xdr:row>
      <xdr:rowOff>23812</xdr:rowOff>
    </xdr:from>
    <xdr:to>
      <xdr:col>9</xdr:col>
      <xdr:colOff>573199</xdr:colOff>
      <xdr:row>38</xdr:row>
      <xdr:rowOff>98654</xdr:rowOff>
    </xdr:to>
    <xdr:graphicFrame macro="">
      <xdr:nvGraphicFramePr>
        <xdr:cNvPr id="8" name="Chart 7">
          <a:extLst>
            <a:ext uri="{FF2B5EF4-FFF2-40B4-BE49-F238E27FC236}">
              <a16:creationId xmlns:a16="http://schemas.microsoft.com/office/drawing/2014/main" id="{514C87CB-4ED0-46A2-9BD9-C2CBEDD269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562427</xdr:colOff>
      <xdr:row>0</xdr:row>
      <xdr:rowOff>145143</xdr:rowOff>
    </xdr:from>
    <xdr:to>
      <xdr:col>20</xdr:col>
      <xdr:colOff>523875</xdr:colOff>
      <xdr:row>4</xdr:row>
      <xdr:rowOff>142875</xdr:rowOff>
    </xdr:to>
    <xdr:sp macro="" textlink="">
      <xdr:nvSpPr>
        <xdr:cNvPr id="2" name="Rectangle 1">
          <a:extLst>
            <a:ext uri="{FF2B5EF4-FFF2-40B4-BE49-F238E27FC236}">
              <a16:creationId xmlns:a16="http://schemas.microsoft.com/office/drawing/2014/main" id="{776E740F-54AF-FA1E-A32C-4B90BA9CD6F3}"/>
            </a:ext>
          </a:extLst>
        </xdr:cNvPr>
        <xdr:cNvSpPr/>
      </xdr:nvSpPr>
      <xdr:spPr>
        <a:xfrm>
          <a:off x="6289333" y="145143"/>
          <a:ext cx="8938761" cy="807357"/>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664482</xdr:colOff>
      <xdr:row>0</xdr:row>
      <xdr:rowOff>201840</xdr:rowOff>
    </xdr:from>
    <xdr:to>
      <xdr:col>13</xdr:col>
      <xdr:colOff>349250</xdr:colOff>
      <xdr:row>4</xdr:row>
      <xdr:rowOff>79375</xdr:rowOff>
    </xdr:to>
    <mc:AlternateContent xmlns:mc="http://schemas.openxmlformats.org/markup-compatibility/2006" xmlns:a14="http://schemas.microsoft.com/office/drawing/2010/main">
      <mc:Choice Requires="a14">
        <xdr:graphicFrame macro="">
          <xdr:nvGraphicFramePr>
            <xdr:cNvPr id="18" name="Order_Status 1">
              <a:extLst>
                <a:ext uri="{FF2B5EF4-FFF2-40B4-BE49-F238E27FC236}">
                  <a16:creationId xmlns:a16="http://schemas.microsoft.com/office/drawing/2014/main" id="{DE387A41-21D2-4C14-B9A9-278D10C6845A}"/>
                </a:ext>
              </a:extLst>
            </xdr:cNvPr>
            <xdr:cNvGraphicFramePr/>
          </xdr:nvGraphicFramePr>
          <xdr:xfrm>
            <a:off x="0" y="0"/>
            <a:ext cx="0" cy="0"/>
          </xdr:xfrm>
          <a:graphic>
            <a:graphicData uri="http://schemas.microsoft.com/office/drawing/2010/slicer">
              <sle:slicer xmlns:sle="http://schemas.microsoft.com/office/drawing/2010/slicer" name="Order_Status 1"/>
            </a:graphicData>
          </a:graphic>
        </xdr:graphicFrame>
      </mc:Choice>
      <mc:Fallback xmlns="">
        <xdr:sp macro="" textlink="">
          <xdr:nvSpPr>
            <xdr:cNvPr id="0" name=""/>
            <xdr:cNvSpPr>
              <a:spLocks noTextEdit="1"/>
            </xdr:cNvSpPr>
          </xdr:nvSpPr>
          <xdr:spPr>
            <a:xfrm>
              <a:off x="6363607" y="201840"/>
              <a:ext cx="3780518" cy="7030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469448</xdr:colOff>
      <xdr:row>0</xdr:row>
      <xdr:rowOff>201841</xdr:rowOff>
    </xdr:from>
    <xdr:to>
      <xdr:col>20</xdr:col>
      <xdr:colOff>452438</xdr:colOff>
      <xdr:row>4</xdr:row>
      <xdr:rowOff>63501</xdr:rowOff>
    </xdr:to>
    <mc:AlternateContent xmlns:mc="http://schemas.openxmlformats.org/markup-compatibility/2006" xmlns:a14="http://schemas.microsoft.com/office/drawing/2010/main">
      <mc:Choice Requires="a14">
        <xdr:graphicFrame macro="">
          <xdr:nvGraphicFramePr>
            <xdr:cNvPr id="19" name="Payment_Method 1">
              <a:extLst>
                <a:ext uri="{FF2B5EF4-FFF2-40B4-BE49-F238E27FC236}">
                  <a16:creationId xmlns:a16="http://schemas.microsoft.com/office/drawing/2014/main" id="{A2881D92-0CB4-4BDA-9479-C9AAF6BE2798}"/>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10264322" y="201841"/>
              <a:ext cx="4943928" cy="687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66334</xdr:colOff>
      <xdr:row>10</xdr:row>
      <xdr:rowOff>103187</xdr:rowOff>
    </xdr:from>
    <xdr:to>
      <xdr:col>14</xdr:col>
      <xdr:colOff>406513</xdr:colOff>
      <xdr:row>39</xdr:row>
      <xdr:rowOff>11906</xdr:rowOff>
    </xdr:to>
    <xdr:sp macro="" textlink="">
      <xdr:nvSpPr>
        <xdr:cNvPr id="22" name="Rectangle 21">
          <a:extLst>
            <a:ext uri="{FF2B5EF4-FFF2-40B4-BE49-F238E27FC236}">
              <a16:creationId xmlns:a16="http://schemas.microsoft.com/office/drawing/2014/main" id="{FBB9157C-BC97-B100-8ACF-6CD45F8C815E}"/>
            </a:ext>
          </a:extLst>
        </xdr:cNvPr>
        <xdr:cNvSpPr/>
      </xdr:nvSpPr>
      <xdr:spPr>
        <a:xfrm>
          <a:off x="7864928" y="2127250"/>
          <a:ext cx="3102429" cy="5778500"/>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130969</xdr:colOff>
      <xdr:row>10</xdr:row>
      <xdr:rowOff>154781</xdr:rowOff>
    </xdr:from>
    <xdr:to>
      <xdr:col>14</xdr:col>
      <xdr:colOff>333375</xdr:colOff>
      <xdr:row>38</xdr:row>
      <xdr:rowOff>154781</xdr:rowOff>
    </xdr:to>
    <xdr:graphicFrame macro="">
      <xdr:nvGraphicFramePr>
        <xdr:cNvPr id="21" name="Chart 20">
          <a:extLst>
            <a:ext uri="{FF2B5EF4-FFF2-40B4-BE49-F238E27FC236}">
              <a16:creationId xmlns:a16="http://schemas.microsoft.com/office/drawing/2014/main" id="{C5C3DE05-55F8-44A2-A5BF-EC383A6AE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95249</xdr:colOff>
      <xdr:row>10</xdr:row>
      <xdr:rowOff>86745</xdr:rowOff>
    </xdr:from>
    <xdr:to>
      <xdr:col>9</xdr:col>
      <xdr:colOff>631031</xdr:colOff>
      <xdr:row>22</xdr:row>
      <xdr:rowOff>141174</xdr:rowOff>
    </xdr:to>
    <xdr:sp macro="" textlink="">
      <xdr:nvSpPr>
        <xdr:cNvPr id="23" name="Rectangle 22">
          <a:extLst>
            <a:ext uri="{FF2B5EF4-FFF2-40B4-BE49-F238E27FC236}">
              <a16:creationId xmlns:a16="http://schemas.microsoft.com/office/drawing/2014/main" id="{DF20A209-59D1-E194-8D6E-207197958456}"/>
            </a:ext>
          </a:extLst>
        </xdr:cNvPr>
        <xdr:cNvSpPr/>
      </xdr:nvSpPr>
      <xdr:spPr>
        <a:xfrm>
          <a:off x="5131593" y="2110808"/>
          <a:ext cx="2607469" cy="2483304"/>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127567</xdr:colOff>
      <xdr:row>10</xdr:row>
      <xdr:rowOff>142874</xdr:rowOff>
    </xdr:from>
    <xdr:to>
      <xdr:col>9</xdr:col>
      <xdr:colOff>571500</xdr:colOff>
      <xdr:row>22</xdr:row>
      <xdr:rowOff>93549</xdr:rowOff>
    </xdr:to>
    <xdr:graphicFrame macro="">
      <xdr:nvGraphicFramePr>
        <xdr:cNvPr id="24" name="Chart 23">
          <a:extLst>
            <a:ext uri="{FF2B5EF4-FFF2-40B4-BE49-F238E27FC236}">
              <a16:creationId xmlns:a16="http://schemas.microsoft.com/office/drawing/2014/main" id="{FB375E7C-BFB4-4458-88AE-759B3ADC6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369093</xdr:colOff>
      <xdr:row>5</xdr:row>
      <xdr:rowOff>45923</xdr:rowOff>
    </xdr:from>
    <xdr:to>
      <xdr:col>5</xdr:col>
      <xdr:colOff>119063</xdr:colOff>
      <xdr:row>9</xdr:row>
      <xdr:rowOff>112259</xdr:rowOff>
    </xdr:to>
    <xdr:sp macro="" textlink="">
      <xdr:nvSpPr>
        <xdr:cNvPr id="25" name="Rectangle 24">
          <a:extLst>
            <a:ext uri="{FF2B5EF4-FFF2-40B4-BE49-F238E27FC236}">
              <a16:creationId xmlns:a16="http://schemas.microsoft.com/office/drawing/2014/main" id="{C14155EB-3455-3238-08CC-7904654EF135}"/>
            </a:ext>
          </a:extLst>
        </xdr:cNvPr>
        <xdr:cNvSpPr/>
      </xdr:nvSpPr>
      <xdr:spPr>
        <a:xfrm>
          <a:off x="1547812" y="1057954"/>
          <a:ext cx="2917032" cy="875961"/>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i="0" u="sng">
              <a:solidFill>
                <a:srgbClr val="FFCC00"/>
              </a:solidFill>
            </a:rPr>
            <a:t>TOTAL</a:t>
          </a:r>
          <a:r>
            <a:rPr lang="en-IN" sz="1800" b="1" i="0" u="sng" baseline="0">
              <a:solidFill>
                <a:srgbClr val="FFCC00"/>
              </a:solidFill>
            </a:rPr>
            <a:t> SALES AMOUNT</a:t>
          </a:r>
          <a:endParaRPr lang="en-IN" sz="1100" b="1" i="0" u="sng" strike="noStrike" baseline="0">
            <a:solidFill>
              <a:srgbClr val="FFCC00"/>
            </a:solidFill>
            <a:effectLst/>
            <a:latin typeface="+mn-lt"/>
            <a:ea typeface="+mn-ea"/>
            <a:cs typeface="+mn-cs"/>
          </a:endParaRPr>
        </a:p>
        <a:p>
          <a:pPr algn="l"/>
          <a:r>
            <a:rPr lang="en-IN" sz="1100" b="1" i="0" u="none" strike="noStrike" baseline="0">
              <a:solidFill>
                <a:schemeClr val="lt1"/>
              </a:solidFill>
              <a:effectLst/>
              <a:latin typeface="+mn-lt"/>
              <a:ea typeface="+mn-ea"/>
              <a:cs typeface="+mn-cs"/>
            </a:rPr>
            <a:t>         </a:t>
          </a:r>
          <a:r>
            <a:rPr lang="en-IN" sz="2400" b="1" i="0" u="none" strike="noStrike" baseline="0">
              <a:solidFill>
                <a:schemeClr val="lt1"/>
              </a:solidFill>
              <a:effectLst/>
              <a:latin typeface="+mn-lt"/>
              <a:ea typeface="+mn-ea"/>
              <a:cs typeface="+mn-cs"/>
            </a:rPr>
            <a:t>$</a:t>
          </a:r>
          <a:r>
            <a:rPr lang="en-IN" sz="2400" b="1" i="0" u="none" strike="noStrike">
              <a:solidFill>
                <a:schemeClr val="lt1"/>
              </a:solidFill>
              <a:effectLst/>
              <a:latin typeface="+mn-lt"/>
              <a:ea typeface="+mn-ea"/>
              <a:cs typeface="+mn-cs"/>
            </a:rPr>
            <a:t>47947</a:t>
          </a:r>
          <a:r>
            <a:rPr lang="en-IN" sz="2400"/>
            <a:t> </a:t>
          </a:r>
        </a:p>
      </xdr:txBody>
    </xdr:sp>
    <xdr:clientData/>
  </xdr:twoCellAnchor>
  <xdr:twoCellAnchor>
    <xdr:from>
      <xdr:col>5</xdr:col>
      <xdr:colOff>399710</xdr:colOff>
      <xdr:row>5</xdr:row>
      <xdr:rowOff>57831</xdr:rowOff>
    </xdr:from>
    <xdr:to>
      <xdr:col>9</xdr:col>
      <xdr:colOff>547688</xdr:colOff>
      <xdr:row>9</xdr:row>
      <xdr:rowOff>124167</xdr:rowOff>
    </xdr:to>
    <xdr:sp macro="" textlink="">
      <xdr:nvSpPr>
        <xdr:cNvPr id="27" name="Rectangle 26">
          <a:extLst>
            <a:ext uri="{FF2B5EF4-FFF2-40B4-BE49-F238E27FC236}">
              <a16:creationId xmlns:a16="http://schemas.microsoft.com/office/drawing/2014/main" id="{22BB8D62-6B82-4170-8BDB-1593D4AE135A}"/>
            </a:ext>
          </a:extLst>
        </xdr:cNvPr>
        <xdr:cNvSpPr/>
      </xdr:nvSpPr>
      <xdr:spPr>
        <a:xfrm>
          <a:off x="4745491" y="1069862"/>
          <a:ext cx="2910228" cy="875961"/>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u="sng">
              <a:solidFill>
                <a:srgbClr val="FFCC00"/>
              </a:solidFill>
            </a:rPr>
            <a:t>TOTAL QUANTITY</a:t>
          </a:r>
          <a:r>
            <a:rPr lang="en-IN" sz="1800" b="1" u="sng" baseline="0">
              <a:solidFill>
                <a:srgbClr val="FFCC00"/>
              </a:solidFill>
            </a:rPr>
            <a:t> SOLD</a:t>
          </a:r>
        </a:p>
        <a:p>
          <a:pPr algn="l"/>
          <a:r>
            <a:rPr lang="en-IN" sz="2400"/>
            <a:t>     </a:t>
          </a:r>
          <a:r>
            <a:rPr lang="en-IN" sz="2400" b="1" i="0" u="none" strike="noStrike">
              <a:solidFill>
                <a:schemeClr val="lt1"/>
              </a:solidFill>
              <a:effectLst/>
              <a:latin typeface="+mn-lt"/>
              <a:ea typeface="+mn-ea"/>
              <a:cs typeface="+mn-cs"/>
            </a:rPr>
            <a:t>5045</a:t>
          </a:r>
          <a:r>
            <a:rPr lang="en-IN" sz="2400"/>
            <a:t> </a:t>
          </a:r>
        </a:p>
      </xdr:txBody>
    </xdr:sp>
    <xdr:clientData/>
  </xdr:twoCellAnchor>
  <xdr:twoCellAnchor>
    <xdr:from>
      <xdr:col>10</xdr:col>
      <xdr:colOff>138906</xdr:colOff>
      <xdr:row>5</xdr:row>
      <xdr:rowOff>67469</xdr:rowOff>
    </xdr:from>
    <xdr:to>
      <xdr:col>14</xdr:col>
      <xdr:colOff>321469</xdr:colOff>
      <xdr:row>9</xdr:row>
      <xdr:rowOff>133805</xdr:rowOff>
    </xdr:to>
    <xdr:sp macro="" textlink="">
      <xdr:nvSpPr>
        <xdr:cNvPr id="37" name="Rectangle 36">
          <a:extLst>
            <a:ext uri="{FF2B5EF4-FFF2-40B4-BE49-F238E27FC236}">
              <a16:creationId xmlns:a16="http://schemas.microsoft.com/office/drawing/2014/main" id="{FB133B39-FAD0-433C-AD48-622498C9DC68}"/>
            </a:ext>
          </a:extLst>
        </xdr:cNvPr>
        <xdr:cNvSpPr/>
      </xdr:nvSpPr>
      <xdr:spPr>
        <a:xfrm>
          <a:off x="7937500" y="1079500"/>
          <a:ext cx="2944813" cy="875961"/>
        </a:xfrm>
        <a:prstGeom prst="rect">
          <a:avLst/>
        </a:prstGeom>
        <a:effectLst>
          <a:softEdge rad="31750"/>
        </a:effectLst>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u="sng">
              <a:solidFill>
                <a:srgbClr val="FFCC00"/>
              </a:solidFill>
            </a:rPr>
            <a:t>        TOTAL PROFIT</a:t>
          </a:r>
          <a:r>
            <a:rPr lang="en-IN" sz="1800" b="1" u="sng" baseline="0">
              <a:solidFill>
                <a:srgbClr val="FFCC00"/>
              </a:solidFill>
            </a:rPr>
            <a:t> %</a:t>
          </a:r>
        </a:p>
        <a:p>
          <a:pPr algn="l"/>
          <a:r>
            <a:rPr lang="en-IN" sz="2800" b="1"/>
            <a:t>        </a:t>
          </a:r>
          <a:r>
            <a:rPr lang="en-IN" sz="2800" b="1" i="0" u="none" strike="noStrike">
              <a:solidFill>
                <a:schemeClr val="lt1"/>
              </a:solidFill>
              <a:effectLst/>
              <a:latin typeface="+mn-lt"/>
              <a:ea typeface="+mn-ea"/>
              <a:cs typeface="+mn-cs"/>
            </a:rPr>
            <a:t>21%</a:t>
          </a:r>
          <a:r>
            <a:rPr lang="en-IN" sz="2800" b="1"/>
            <a:t> </a:t>
          </a:r>
        </a:p>
      </xdr:txBody>
    </xdr:sp>
    <xdr:clientData/>
  </xdr:twoCellAnchor>
  <xdr:twoCellAnchor>
    <xdr:from>
      <xdr:col>14</xdr:col>
      <xdr:colOff>416719</xdr:colOff>
      <xdr:row>5</xdr:row>
      <xdr:rowOff>35719</xdr:rowOff>
    </xdr:from>
    <xdr:to>
      <xdr:col>18</xdr:col>
      <xdr:colOff>190500</xdr:colOff>
      <xdr:row>8</xdr:row>
      <xdr:rowOff>33210</xdr:rowOff>
    </xdr:to>
    <xdr:sp macro="" textlink="">
      <xdr:nvSpPr>
        <xdr:cNvPr id="40" name="Flowchart: Manual Operation 39">
          <a:extLst>
            <a:ext uri="{FF2B5EF4-FFF2-40B4-BE49-F238E27FC236}">
              <a16:creationId xmlns:a16="http://schemas.microsoft.com/office/drawing/2014/main" id="{83F72745-FAF3-5264-0FDA-F3389F77A136}"/>
            </a:ext>
          </a:extLst>
        </xdr:cNvPr>
        <xdr:cNvSpPr/>
      </xdr:nvSpPr>
      <xdr:spPr>
        <a:xfrm>
          <a:off x="10977563" y="1047750"/>
          <a:ext cx="2536031" cy="604710"/>
        </a:xfrm>
        <a:prstGeom prst="flowChartManualOperat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222249</xdr:colOff>
      <xdr:row>5</xdr:row>
      <xdr:rowOff>51594</xdr:rowOff>
    </xdr:from>
    <xdr:to>
      <xdr:col>17</xdr:col>
      <xdr:colOff>468313</xdr:colOff>
      <xdr:row>17</xdr:row>
      <xdr:rowOff>30161</xdr:rowOff>
    </xdr:to>
    <xdr:sp macro="" textlink="">
      <xdr:nvSpPr>
        <xdr:cNvPr id="38" name="Flowchart: Off-page Connector 37">
          <a:extLst>
            <a:ext uri="{FF2B5EF4-FFF2-40B4-BE49-F238E27FC236}">
              <a16:creationId xmlns:a16="http://schemas.microsoft.com/office/drawing/2014/main" id="{C8CB0253-A178-5289-7184-F71C8C2D65E4}"/>
            </a:ext>
          </a:extLst>
        </xdr:cNvPr>
        <xdr:cNvSpPr/>
      </xdr:nvSpPr>
      <xdr:spPr>
        <a:xfrm>
          <a:off x="11473655" y="1063625"/>
          <a:ext cx="1627189" cy="2407442"/>
        </a:xfrm>
        <a:prstGeom prst="flowChartOffpageConnector">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230188</xdr:colOff>
      <xdr:row>5</xdr:row>
      <xdr:rowOff>30162</xdr:rowOff>
    </xdr:from>
    <xdr:to>
      <xdr:col>21</xdr:col>
      <xdr:colOff>642939</xdr:colOff>
      <xdr:row>8</xdr:row>
      <xdr:rowOff>33209</xdr:rowOff>
    </xdr:to>
    <xdr:sp macro="" textlink="">
      <xdr:nvSpPr>
        <xdr:cNvPr id="41" name="Flowchart: Manual Operation 40">
          <a:extLst>
            <a:ext uri="{FF2B5EF4-FFF2-40B4-BE49-F238E27FC236}">
              <a16:creationId xmlns:a16="http://schemas.microsoft.com/office/drawing/2014/main" id="{44C548AF-2071-40C5-B217-FC267B56FFB5}"/>
            </a:ext>
          </a:extLst>
        </xdr:cNvPr>
        <xdr:cNvSpPr/>
      </xdr:nvSpPr>
      <xdr:spPr>
        <a:xfrm>
          <a:off x="13553282" y="1042193"/>
          <a:ext cx="2484438" cy="610266"/>
        </a:xfrm>
        <a:prstGeom prst="flowChartManualOperati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43656</xdr:colOff>
      <xdr:row>5</xdr:row>
      <xdr:rowOff>51595</xdr:rowOff>
    </xdr:from>
    <xdr:to>
      <xdr:col>21</xdr:col>
      <xdr:colOff>218281</xdr:colOff>
      <xdr:row>17</xdr:row>
      <xdr:rowOff>67469</xdr:rowOff>
    </xdr:to>
    <xdr:sp macro="" textlink="">
      <xdr:nvSpPr>
        <xdr:cNvPr id="39" name="Flowchart: Off-page Connector 38">
          <a:extLst>
            <a:ext uri="{FF2B5EF4-FFF2-40B4-BE49-F238E27FC236}">
              <a16:creationId xmlns:a16="http://schemas.microsoft.com/office/drawing/2014/main" id="{11B515D7-90C3-1D24-DE8D-79E27DFA332A}"/>
            </a:ext>
          </a:extLst>
        </xdr:cNvPr>
        <xdr:cNvSpPr/>
      </xdr:nvSpPr>
      <xdr:spPr>
        <a:xfrm>
          <a:off x="14057312" y="1063626"/>
          <a:ext cx="1555750" cy="2444749"/>
        </a:xfrm>
        <a:prstGeom prst="flowChartOffpage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301625</xdr:colOff>
      <xdr:row>5</xdr:row>
      <xdr:rowOff>134937</xdr:rowOff>
    </xdr:from>
    <xdr:to>
      <xdr:col>17</xdr:col>
      <xdr:colOff>381000</xdr:colOff>
      <xdr:row>16</xdr:row>
      <xdr:rowOff>119062</xdr:rowOff>
    </xdr:to>
    <xdr:sp macro="" textlink="">
      <xdr:nvSpPr>
        <xdr:cNvPr id="42" name="Flowchart: Off-page Connector 41">
          <a:extLst>
            <a:ext uri="{FF2B5EF4-FFF2-40B4-BE49-F238E27FC236}">
              <a16:creationId xmlns:a16="http://schemas.microsoft.com/office/drawing/2014/main" id="{9AA4A75D-0861-C18A-FF47-2BD106C2DBD9}"/>
            </a:ext>
          </a:extLst>
        </xdr:cNvPr>
        <xdr:cNvSpPr/>
      </xdr:nvSpPr>
      <xdr:spPr>
        <a:xfrm>
          <a:off x="11553031" y="1146968"/>
          <a:ext cx="1460500" cy="2210594"/>
        </a:xfrm>
        <a:prstGeom prst="flowChartOffpageConnector">
          <a:avLst/>
        </a:prstGeom>
        <a:ln>
          <a:solidFill>
            <a:schemeClr val="bg1"/>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rgbClr val="FFCC00"/>
              </a:solidFill>
            </a:rPr>
            <a:t>TOP </a:t>
          </a:r>
        </a:p>
        <a:p>
          <a:pPr algn="ctr"/>
          <a:r>
            <a:rPr lang="en-IN" sz="1600" b="1">
              <a:solidFill>
                <a:srgbClr val="FFCC00"/>
              </a:solidFill>
            </a:rPr>
            <a:t>PRODUCT</a:t>
          </a:r>
        </a:p>
        <a:p>
          <a:pPr algn="ctr"/>
          <a:endParaRPr lang="en-IN" sz="1600" b="1"/>
        </a:p>
        <a:p>
          <a:pPr algn="ctr"/>
          <a:r>
            <a:rPr lang="en-IN" sz="1600" b="1"/>
            <a:t>ELECTRONICS</a:t>
          </a:r>
        </a:p>
        <a:p>
          <a:pPr algn="ctr"/>
          <a:r>
            <a:rPr lang="en-IN" sz="2000" b="0" i="0" u="none" strike="noStrike">
              <a:solidFill>
                <a:schemeClr val="lt1"/>
              </a:solidFill>
              <a:effectLst/>
              <a:latin typeface="+mn-lt"/>
              <a:ea typeface="+mn-ea"/>
              <a:cs typeface="+mn-cs"/>
            </a:rPr>
            <a:t>$10217</a:t>
          </a:r>
          <a:r>
            <a:rPr lang="en-IN" sz="2000"/>
            <a:t> </a:t>
          </a:r>
          <a:endParaRPr lang="en-IN" sz="2000" b="1"/>
        </a:p>
      </xdr:txBody>
    </xdr:sp>
    <xdr:clientData/>
  </xdr:twoCellAnchor>
  <xdr:twoCellAnchor>
    <xdr:from>
      <xdr:col>19</xdr:col>
      <xdr:colOff>138905</xdr:colOff>
      <xdr:row>5</xdr:row>
      <xdr:rowOff>142877</xdr:rowOff>
    </xdr:from>
    <xdr:to>
      <xdr:col>21</xdr:col>
      <xdr:colOff>154781</xdr:colOff>
      <xdr:row>16</xdr:row>
      <xdr:rowOff>174625</xdr:rowOff>
    </xdr:to>
    <xdr:sp macro="" textlink="">
      <xdr:nvSpPr>
        <xdr:cNvPr id="43" name="Flowchart: Off-page Connector 42">
          <a:extLst>
            <a:ext uri="{FF2B5EF4-FFF2-40B4-BE49-F238E27FC236}">
              <a16:creationId xmlns:a16="http://schemas.microsoft.com/office/drawing/2014/main" id="{D0FD39D8-C990-446F-A38B-3775FD419F38}"/>
            </a:ext>
          </a:extLst>
        </xdr:cNvPr>
        <xdr:cNvSpPr/>
      </xdr:nvSpPr>
      <xdr:spPr>
        <a:xfrm>
          <a:off x="14152561" y="1154908"/>
          <a:ext cx="1397001" cy="2258217"/>
        </a:xfrm>
        <a:prstGeom prst="flowChartOffpageConnector">
          <a:avLst/>
        </a:prstGeom>
        <a:ln>
          <a:solidFill>
            <a:schemeClr val="bg1"/>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rgbClr val="FFCC00"/>
              </a:solidFill>
            </a:rPr>
            <a:t>TOP </a:t>
          </a:r>
          <a:r>
            <a:rPr lang="en-IN" sz="1600" b="1" baseline="0">
              <a:solidFill>
                <a:srgbClr val="FFCC00"/>
              </a:solidFill>
            </a:rPr>
            <a:t> CITY  IN SALES</a:t>
          </a:r>
          <a:endParaRPr lang="en-IN" sz="1100" b="0" i="0" u="none" strike="noStrike" baseline="0">
            <a:solidFill>
              <a:srgbClr val="FFCC00"/>
            </a:solidFill>
            <a:effectLst/>
            <a:latin typeface="+mn-lt"/>
            <a:ea typeface="+mn-ea"/>
            <a:cs typeface="+mn-cs"/>
          </a:endParaRPr>
        </a:p>
        <a:p>
          <a:pPr algn="ctr"/>
          <a:endParaRPr lang="en-IN" sz="1100" b="0" i="0" u="none" strike="noStrike" baseline="0">
            <a:solidFill>
              <a:schemeClr val="lt1"/>
            </a:solidFill>
            <a:effectLst/>
            <a:latin typeface="+mn-lt"/>
            <a:ea typeface="+mn-ea"/>
            <a:cs typeface="+mn-cs"/>
          </a:endParaRPr>
        </a:p>
        <a:p>
          <a:pPr algn="ctr"/>
          <a:r>
            <a:rPr lang="en-IN" sz="1800" b="0" i="0" u="none" strike="noStrike">
              <a:solidFill>
                <a:schemeClr val="lt1"/>
              </a:solidFill>
              <a:effectLst/>
              <a:latin typeface="+mn-lt"/>
              <a:ea typeface="+mn-ea"/>
              <a:cs typeface="+mn-cs"/>
            </a:rPr>
            <a:t>San Diego</a:t>
          </a:r>
          <a:r>
            <a:rPr lang="en-IN" sz="1800"/>
            <a:t> </a:t>
          </a:r>
          <a:endParaRPr lang="en-IN" sz="1100" b="0" i="0" u="none" strike="noStrike">
            <a:solidFill>
              <a:schemeClr val="lt1"/>
            </a:solidFill>
            <a:effectLst/>
            <a:latin typeface="+mn-lt"/>
            <a:ea typeface="+mn-ea"/>
            <a:cs typeface="+mn-cs"/>
          </a:endParaRPr>
        </a:p>
        <a:p>
          <a:pPr algn="ctr"/>
          <a:endParaRPr lang="en-IN" sz="1100" b="0" i="0" u="none" strike="noStrike" baseline="0">
            <a:solidFill>
              <a:schemeClr val="lt1"/>
            </a:solidFill>
            <a:effectLst/>
            <a:latin typeface="+mn-lt"/>
            <a:ea typeface="+mn-ea"/>
            <a:cs typeface="+mn-cs"/>
          </a:endParaRPr>
        </a:p>
        <a:p>
          <a:pPr algn="ctr"/>
          <a:r>
            <a:rPr lang="en-IN" sz="2400" b="0" i="0" u="none" strike="noStrike">
              <a:solidFill>
                <a:schemeClr val="lt1"/>
              </a:solidFill>
              <a:effectLst/>
              <a:latin typeface="+mn-lt"/>
              <a:ea typeface="+mn-ea"/>
              <a:cs typeface="+mn-cs"/>
            </a:rPr>
            <a:t>$6460</a:t>
          </a:r>
          <a:r>
            <a:rPr lang="en-IN" sz="2400"/>
            <a:t> </a:t>
          </a:r>
          <a:endParaRPr lang="en-IN" sz="2400" b="0" i="0" u="none" strike="noStrike" baseline="0">
            <a:solidFill>
              <a:schemeClr val="lt1"/>
            </a:solidFill>
            <a:effectLst/>
            <a:latin typeface="+mn-lt"/>
            <a:ea typeface="+mn-ea"/>
            <a:cs typeface="+mn-cs"/>
          </a:endParaRPr>
        </a:p>
      </xdr:txBody>
    </xdr:sp>
    <xdr:clientData/>
  </xdr:twoCellAnchor>
  <xdr:twoCellAnchor>
    <xdr:from>
      <xdr:col>15</xdr:col>
      <xdr:colOff>563563</xdr:colOff>
      <xdr:row>8</xdr:row>
      <xdr:rowOff>95250</xdr:rowOff>
    </xdr:from>
    <xdr:to>
      <xdr:col>17</xdr:col>
      <xdr:colOff>214312</xdr:colOff>
      <xdr:row>8</xdr:row>
      <xdr:rowOff>115094</xdr:rowOff>
    </xdr:to>
    <xdr:cxnSp macro="">
      <xdr:nvCxnSpPr>
        <xdr:cNvPr id="45" name="Straight Connector 44">
          <a:extLst>
            <a:ext uri="{FF2B5EF4-FFF2-40B4-BE49-F238E27FC236}">
              <a16:creationId xmlns:a16="http://schemas.microsoft.com/office/drawing/2014/main" id="{C4328811-97B0-32C2-3087-BBE6E618EA08}"/>
            </a:ext>
          </a:extLst>
        </xdr:cNvPr>
        <xdr:cNvCxnSpPr/>
      </xdr:nvCxnSpPr>
      <xdr:spPr>
        <a:xfrm flipV="1">
          <a:off x="11814969" y="1714500"/>
          <a:ext cx="1031874" cy="1984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327024</xdr:colOff>
      <xdr:row>8</xdr:row>
      <xdr:rowOff>95250</xdr:rowOff>
    </xdr:from>
    <xdr:to>
      <xdr:col>20</xdr:col>
      <xdr:colOff>631030</xdr:colOff>
      <xdr:row>8</xdr:row>
      <xdr:rowOff>112714</xdr:rowOff>
    </xdr:to>
    <xdr:cxnSp macro="">
      <xdr:nvCxnSpPr>
        <xdr:cNvPr id="48" name="Straight Connector 47">
          <a:extLst>
            <a:ext uri="{FF2B5EF4-FFF2-40B4-BE49-F238E27FC236}">
              <a16:creationId xmlns:a16="http://schemas.microsoft.com/office/drawing/2014/main" id="{96AB6A77-FAC8-4213-AA2B-BAF2D7F88DD5}"/>
            </a:ext>
          </a:extLst>
        </xdr:cNvPr>
        <xdr:cNvCxnSpPr/>
      </xdr:nvCxnSpPr>
      <xdr:spPr>
        <a:xfrm flipV="1">
          <a:off x="14340680" y="1714500"/>
          <a:ext cx="994569" cy="1746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523875</xdr:colOff>
      <xdr:row>18</xdr:row>
      <xdr:rowOff>63499</xdr:rowOff>
    </xdr:from>
    <xdr:to>
      <xdr:col>22</xdr:col>
      <xdr:colOff>35718</xdr:colOff>
      <xdr:row>38</xdr:row>
      <xdr:rowOff>174624</xdr:rowOff>
    </xdr:to>
    <xdr:sp macro="" textlink="">
      <xdr:nvSpPr>
        <xdr:cNvPr id="10" name="Rectangle 9">
          <a:extLst>
            <a:ext uri="{FF2B5EF4-FFF2-40B4-BE49-F238E27FC236}">
              <a16:creationId xmlns:a16="http://schemas.microsoft.com/office/drawing/2014/main" id="{8A87309F-DD4A-946B-3579-AA2EF0D4439D}"/>
            </a:ext>
          </a:extLst>
        </xdr:cNvPr>
        <xdr:cNvSpPr/>
      </xdr:nvSpPr>
      <xdr:spPr>
        <a:xfrm>
          <a:off x="11084719" y="3706812"/>
          <a:ext cx="5036343" cy="4159250"/>
        </a:xfrm>
        <a:prstGeom prst="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607218</xdr:colOff>
      <xdr:row>18</xdr:row>
      <xdr:rowOff>158750</xdr:rowOff>
    </xdr:from>
    <xdr:to>
      <xdr:col>21</xdr:col>
      <xdr:colOff>642938</xdr:colOff>
      <xdr:row>38</xdr:row>
      <xdr:rowOff>111125</xdr:rowOff>
    </xdr:to>
    <xdr:graphicFrame macro="">
      <xdr:nvGraphicFramePr>
        <xdr:cNvPr id="4" name="Chart 3">
          <a:extLst>
            <a:ext uri="{FF2B5EF4-FFF2-40B4-BE49-F238E27FC236}">
              <a16:creationId xmlns:a16="http://schemas.microsoft.com/office/drawing/2014/main" id="{81B3BF53-DBB6-4739-902C-41C6138BF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166688</xdr:colOff>
      <xdr:row>0</xdr:row>
      <xdr:rowOff>35718</xdr:rowOff>
    </xdr:from>
    <xdr:to>
      <xdr:col>0</xdr:col>
      <xdr:colOff>1081088</xdr:colOff>
      <xdr:row>4</xdr:row>
      <xdr:rowOff>140493</xdr:rowOff>
    </xdr:to>
    <xdr:pic>
      <xdr:nvPicPr>
        <xdr:cNvPr id="16" name="Graphic 15" descr="Presentation with bar chart with solid fill">
          <a:extLst>
            <a:ext uri="{FF2B5EF4-FFF2-40B4-BE49-F238E27FC236}">
              <a16:creationId xmlns:a16="http://schemas.microsoft.com/office/drawing/2014/main" id="{756EFF60-2D94-B915-6854-D7EAB93D7F3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6688" y="35718"/>
          <a:ext cx="914400" cy="914400"/>
        </a:xfrm>
        <a:prstGeom prst="rect">
          <a:avLst/>
        </a:prstGeom>
      </xdr:spPr>
    </xdr:pic>
    <xdr:clientData/>
  </xdr:twoCellAnchor>
  <xdr:twoCellAnchor editAs="oneCell">
    <xdr:from>
      <xdr:col>3</xdr:col>
      <xdr:colOff>488156</xdr:colOff>
      <xdr:row>5</xdr:row>
      <xdr:rowOff>83344</xdr:rowOff>
    </xdr:from>
    <xdr:to>
      <xdr:col>5</xdr:col>
      <xdr:colOff>21431</xdr:colOff>
      <xdr:row>9</xdr:row>
      <xdr:rowOff>188119</xdr:rowOff>
    </xdr:to>
    <xdr:pic>
      <xdr:nvPicPr>
        <xdr:cNvPr id="26" name="Graphic 25" descr="Money with solid fill">
          <a:extLst>
            <a:ext uri="{FF2B5EF4-FFF2-40B4-BE49-F238E27FC236}">
              <a16:creationId xmlns:a16="http://schemas.microsoft.com/office/drawing/2014/main" id="{4E2DF474-A732-1E1E-E043-1ED9CDC2303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452812" y="1095375"/>
          <a:ext cx="914400" cy="914400"/>
        </a:xfrm>
        <a:prstGeom prst="rect">
          <a:avLst/>
        </a:prstGeom>
      </xdr:spPr>
    </xdr:pic>
    <xdr:clientData/>
  </xdr:twoCellAnchor>
  <xdr:twoCellAnchor editAs="oneCell">
    <xdr:from>
      <xdr:col>0</xdr:col>
      <xdr:colOff>130968</xdr:colOff>
      <xdr:row>4</xdr:row>
      <xdr:rowOff>166687</xdr:rowOff>
    </xdr:from>
    <xdr:to>
      <xdr:col>1</xdr:col>
      <xdr:colOff>297655</xdr:colOff>
      <xdr:row>11</xdr:row>
      <xdr:rowOff>83343</xdr:rowOff>
    </xdr:to>
    <xdr:pic>
      <xdr:nvPicPr>
        <xdr:cNvPr id="13" name="Graphic 12" descr="Database with solid fill">
          <a:extLst>
            <a:ext uri="{FF2B5EF4-FFF2-40B4-BE49-F238E27FC236}">
              <a16:creationId xmlns:a16="http://schemas.microsoft.com/office/drawing/2014/main" id="{57018E81-8674-F900-9A15-022A35F7AA1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0968" y="976312"/>
          <a:ext cx="1345406" cy="1333500"/>
        </a:xfrm>
        <a:prstGeom prst="rect">
          <a:avLst/>
        </a:prstGeom>
      </xdr:spPr>
    </xdr:pic>
    <xdr:clientData/>
  </xdr:twoCellAnchor>
  <xdr:twoCellAnchor editAs="oneCell">
    <xdr:from>
      <xdr:col>13</xdr:col>
      <xdr:colOff>30940</xdr:colOff>
      <xdr:row>5</xdr:row>
      <xdr:rowOff>42841</xdr:rowOff>
    </xdr:from>
    <xdr:to>
      <xdr:col>14</xdr:col>
      <xdr:colOff>254777</xdr:colOff>
      <xdr:row>9</xdr:row>
      <xdr:rowOff>147616</xdr:rowOff>
    </xdr:to>
    <xdr:pic>
      <xdr:nvPicPr>
        <xdr:cNvPr id="20" name="Graphic 19" descr="Piggy Bank with solid fill">
          <a:extLst>
            <a:ext uri="{FF2B5EF4-FFF2-40B4-BE49-F238E27FC236}">
              <a16:creationId xmlns:a16="http://schemas.microsoft.com/office/drawing/2014/main" id="{5AF47D06-E1FC-78B3-88DF-05B1CD93FEE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901221" y="1054872"/>
          <a:ext cx="914400" cy="914400"/>
        </a:xfrm>
        <a:prstGeom prst="rect">
          <a:avLst/>
        </a:prstGeom>
      </xdr:spPr>
    </xdr:pic>
    <xdr:clientData/>
  </xdr:twoCellAnchor>
  <xdr:twoCellAnchor editAs="oneCell">
    <xdr:from>
      <xdr:col>20</xdr:col>
      <xdr:colOff>511969</xdr:colOff>
      <xdr:row>0</xdr:row>
      <xdr:rowOff>71438</xdr:rowOff>
    </xdr:from>
    <xdr:to>
      <xdr:col>22</xdr:col>
      <xdr:colOff>45244</xdr:colOff>
      <xdr:row>4</xdr:row>
      <xdr:rowOff>176213</xdr:rowOff>
    </xdr:to>
    <xdr:pic>
      <xdr:nvPicPr>
        <xdr:cNvPr id="29" name="Graphic 28" descr="Bar chart with solid fill">
          <a:extLst>
            <a:ext uri="{FF2B5EF4-FFF2-40B4-BE49-F238E27FC236}">
              <a16:creationId xmlns:a16="http://schemas.microsoft.com/office/drawing/2014/main" id="{09ABDE34-6E2F-202D-3DA2-2AE56964AAA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5216188" y="71438"/>
          <a:ext cx="914400" cy="914400"/>
        </a:xfrm>
        <a:prstGeom prst="rect">
          <a:avLst/>
        </a:prstGeom>
      </xdr:spPr>
    </xdr:pic>
    <xdr:clientData/>
  </xdr:twoCellAnchor>
  <xdr:twoCellAnchor>
    <xdr:from>
      <xdr:col>0</xdr:col>
      <xdr:colOff>964406</xdr:colOff>
      <xdr:row>3</xdr:row>
      <xdr:rowOff>59531</xdr:rowOff>
    </xdr:from>
    <xdr:to>
      <xdr:col>7</xdr:col>
      <xdr:colOff>309562</xdr:colOff>
      <xdr:row>3</xdr:row>
      <xdr:rowOff>59531</xdr:rowOff>
    </xdr:to>
    <xdr:cxnSp macro="">
      <xdr:nvCxnSpPr>
        <xdr:cNvPr id="31" name="Straight Connector 30">
          <a:extLst>
            <a:ext uri="{FF2B5EF4-FFF2-40B4-BE49-F238E27FC236}">
              <a16:creationId xmlns:a16="http://schemas.microsoft.com/office/drawing/2014/main" id="{0B807DD1-BE61-E4FC-8FAA-7D3901F04D3A}"/>
            </a:ext>
          </a:extLst>
        </xdr:cNvPr>
        <xdr:cNvCxnSpPr/>
      </xdr:nvCxnSpPr>
      <xdr:spPr>
        <a:xfrm>
          <a:off x="964406" y="666750"/>
          <a:ext cx="5072062"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962025</xdr:colOff>
      <xdr:row>3</xdr:row>
      <xdr:rowOff>116682</xdr:rowOff>
    </xdr:from>
    <xdr:to>
      <xdr:col>7</xdr:col>
      <xdr:colOff>307181</xdr:colOff>
      <xdr:row>3</xdr:row>
      <xdr:rowOff>116682</xdr:rowOff>
    </xdr:to>
    <xdr:cxnSp macro="">
      <xdr:nvCxnSpPr>
        <xdr:cNvPr id="34" name="Straight Connector 33">
          <a:extLst>
            <a:ext uri="{FF2B5EF4-FFF2-40B4-BE49-F238E27FC236}">
              <a16:creationId xmlns:a16="http://schemas.microsoft.com/office/drawing/2014/main" id="{BFA4C2AC-B9D1-4501-B6F1-9EA7C733B4B7}"/>
            </a:ext>
          </a:extLst>
        </xdr:cNvPr>
        <xdr:cNvCxnSpPr/>
      </xdr:nvCxnSpPr>
      <xdr:spPr>
        <a:xfrm>
          <a:off x="962025" y="723901"/>
          <a:ext cx="5072062"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editAs="oneCell">
    <xdr:from>
      <xdr:col>8</xdr:col>
      <xdr:colOff>523874</xdr:colOff>
      <xdr:row>5</xdr:row>
      <xdr:rowOff>178592</xdr:rowOff>
    </xdr:from>
    <xdr:to>
      <xdr:col>9</xdr:col>
      <xdr:colOff>535780</xdr:colOff>
      <xdr:row>9</xdr:row>
      <xdr:rowOff>119062</xdr:rowOff>
    </xdr:to>
    <xdr:pic>
      <xdr:nvPicPr>
        <xdr:cNvPr id="36" name="Graphic 35" descr="Bar graph with upward trend with solid fill">
          <a:extLst>
            <a:ext uri="{FF2B5EF4-FFF2-40B4-BE49-F238E27FC236}">
              <a16:creationId xmlns:a16="http://schemas.microsoft.com/office/drawing/2014/main" id="{A9FEF301-B2DF-DA96-340C-7B2947CB16D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941343" y="1190623"/>
          <a:ext cx="702468" cy="750095"/>
        </a:xfrm>
        <a:prstGeom prst="rect">
          <a:avLst/>
        </a:prstGeom>
      </xdr:spPr>
    </xdr:pic>
    <xdr:clientData/>
  </xdr:twoCellAnchor>
  <xdr:twoCellAnchor editAs="oneCell">
    <xdr:from>
      <xdr:col>15</xdr:col>
      <xdr:colOff>642937</xdr:colOff>
      <xdr:row>12</xdr:row>
      <xdr:rowOff>107155</xdr:rowOff>
    </xdr:from>
    <xdr:to>
      <xdr:col>17</xdr:col>
      <xdr:colOff>23812</xdr:colOff>
      <xdr:row>15</xdr:row>
      <xdr:rowOff>202405</xdr:rowOff>
    </xdr:to>
    <xdr:pic>
      <xdr:nvPicPr>
        <xdr:cNvPr id="46" name="Graphic 45" descr="Ribbon with solid fill">
          <a:extLst>
            <a:ext uri="{FF2B5EF4-FFF2-40B4-BE49-F238E27FC236}">
              <a16:creationId xmlns:a16="http://schemas.microsoft.com/office/drawing/2014/main" id="{DBD29180-9AFF-4EEE-20ED-2069ACF20D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94343" y="2536030"/>
          <a:ext cx="762000" cy="702469"/>
        </a:xfrm>
        <a:prstGeom prst="rect">
          <a:avLst/>
        </a:prstGeom>
      </xdr:spPr>
    </xdr:pic>
    <xdr:clientData/>
  </xdr:twoCellAnchor>
  <xdr:twoCellAnchor editAs="oneCell">
    <xdr:from>
      <xdr:col>19</xdr:col>
      <xdr:colOff>472280</xdr:colOff>
      <xdr:row>12</xdr:row>
      <xdr:rowOff>190502</xdr:rowOff>
    </xdr:from>
    <xdr:to>
      <xdr:col>20</xdr:col>
      <xdr:colOff>543717</xdr:colOff>
      <xdr:row>16</xdr:row>
      <xdr:rowOff>83346</xdr:rowOff>
    </xdr:to>
    <xdr:pic>
      <xdr:nvPicPr>
        <xdr:cNvPr id="49" name="Graphic 48" descr="Ribbon with solid fill">
          <a:extLst>
            <a:ext uri="{FF2B5EF4-FFF2-40B4-BE49-F238E27FC236}">
              <a16:creationId xmlns:a16="http://schemas.microsoft.com/office/drawing/2014/main" id="{DC74B629-2BB9-4076-AA3F-2E957099F2C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20"/>
            </a:ext>
          </a:extLst>
        </a:blip>
        <a:stretch>
          <a:fillRect/>
        </a:stretch>
      </xdr:blipFill>
      <xdr:spPr>
        <a:xfrm>
          <a:off x="14485936" y="2619377"/>
          <a:ext cx="762000" cy="702469"/>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6226852" backgroundQuery="1" createdVersion="8" refreshedVersion="8" minRefreshableVersion="3" recordCount="0" supportSubquery="1" supportAdvancedDrill="1" xr:uid="{9E5EE08C-949D-4270-B07B-1124D6A719C6}">
  <cacheSource type="external" connectionId="1"/>
  <cacheFields count="5">
    <cacheField name="[Range].[Region].[Region]" caption="Region" numFmtId="0" hierarchy="3" level="1">
      <sharedItems count="4">
        <s v="East"/>
        <s v="North"/>
        <s v="South"/>
        <s v="West"/>
      </sharedItems>
    </cacheField>
    <cacheField name="[Range].[Product_Category].[Product_Category]" caption="Product_Category" numFmtId="0" level="1">
      <sharedItems count="5">
        <s v="Beauty &amp; Health"/>
        <s v="Clothing"/>
        <s v="Electronics"/>
        <s v="Home &amp; Kitchen"/>
        <s v="Sports &amp; Outdoors"/>
      </sharedItems>
    </cacheField>
    <cacheField name="[Measures].[Average of Sale_Amount]" caption="Average of Sale_Amount" numFmtId="0" hierarchy="21" level="32767"/>
    <cacheField name="[Measures].[Average of Quantity_Sold]" caption="Average of Quantity_Sold" numFmtId="0" hierarchy="22" level="32767"/>
    <cacheField name="[Range].[Sales_Channel].[Sales_Channel]" caption="Sales_Channel" numFmtId="0" hierarchy="4" level="1">
      <sharedItems containsSemiMixedTypes="0" containsNonDate="0" containsString="0"/>
    </cacheField>
  </cacheFields>
  <cacheHierarchies count="24">
    <cacheHierarchy uniqueName="[Range].[Product_Category]" caption="Product_Category" attribute="1" defaultMemberUniqueName="[Range].[Product_Category].[All]" allUniqueName="[Range].[Product_Category].[All]" dimensionUniqueName="[Range]" displayFolder="" count="2" memberValueDatatype="130" unbalanced="0">
      <fieldsUsage count="2">
        <fieldUsage x="-1"/>
        <fieldUsage x="1"/>
      </fieldsUsage>
    </cacheHierarchy>
    <cacheHierarchy uniqueName="[Range].[Customer_Segment]" caption="Customer_Segment" attribute="1" defaultMemberUniqueName="[Range].[Customer_Segment].[All]" allUniqueName="[Range].[Customer_Segment].[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_Channel]" caption="Sales_Channel" attribute="1" defaultMemberUniqueName="[Range].[Sales_Channel].[All]" allUniqueName="[Range].[Sales_Channel].[All]" dimensionUniqueName="[Range]" displayFolder="" count="2" memberValueDatatype="130" unbalanced="0">
      <fieldsUsage count="2">
        <fieldUsage x="-1"/>
        <fieldUsage x="4"/>
      </fieldsUsage>
    </cacheHierarchy>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hidden="1">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7152776" backgroundQuery="1" createdVersion="8" refreshedVersion="8" minRefreshableVersion="3" recordCount="0" supportSubquery="1" supportAdvancedDrill="1" xr:uid="{3DD02458-E88C-485C-87BA-617FA5C1E350}">
  <cacheSource type="external" connectionId="1"/>
  <cacheFields count="5">
    <cacheField name="[Range].[Product_Category].[Product_Category]" caption="Product_Category" numFmtId="0" level="1">
      <sharedItems count="5">
        <s v="Beauty &amp; Health"/>
        <s v="Clothing"/>
        <s v="Electronics"/>
        <s v="Home &amp; Kitchen"/>
        <s v="Sports &amp; Outdoors"/>
      </sharedItems>
    </cacheField>
    <cacheField name="[Measures].[Average of Discount_Rate]" caption="Average of Discount_Rate" numFmtId="0" hierarchy="19" level="32767"/>
    <cacheField name="[Measures].[Average of Profit_Margin]" caption="Average of Profit_Margin" numFmtId="0" hierarchy="20" level="32767"/>
    <cacheField name="[Range].[Sales_Channel].[Sales_Channel]" caption="Sales_Channel" numFmtId="0" hierarchy="4" level="1">
      <sharedItems containsSemiMixedTypes="0" containsNonDate="0" containsString="0"/>
    </cacheField>
    <cacheField name="[Range].[Region].[Region]" caption="Region" numFmtId="0" hierarchy="3" level="1">
      <sharedItems containsSemiMixedTypes="0" containsNonDate="0" containsString="0"/>
    </cacheField>
  </cacheFields>
  <cacheHierarchies count="24">
    <cacheHierarchy uniqueName="[Range].[Product_Category]" caption="Product_Category" attribute="1" defaultMemberUniqueName="[Range].[Product_Category].[All]" allUniqueName="[Range].[Product_Category].[All]" dimensionUniqueName="[Range]" displayFolder="" count="2" memberValueDatatype="130" unbalanced="0">
      <fieldsUsage count="2">
        <fieldUsage x="-1"/>
        <fieldUsage x="0"/>
      </fieldsUsage>
    </cacheHierarchy>
    <cacheHierarchy uniqueName="[Range].[Customer_Segment]" caption="Customer_Segment" attribute="1" defaultMemberUniqueName="[Range].[Customer_Segment].[All]" allUniqueName="[Range].[Customer_Segment].[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4"/>
      </fieldsUsage>
    </cacheHierarchy>
    <cacheHierarchy uniqueName="[Range].[Sales_Channel]" caption="Sales_Channel" attribute="1" defaultMemberUniqueName="[Range].[Sales_Channel].[All]" allUniqueName="[Range].[Sales_Channel].[All]" dimensionUniqueName="[Range]" displayFolder="" count="2" memberValueDatatype="130" unbalanced="0">
      <fieldsUsage count="2">
        <fieldUsage x="-1"/>
        <fieldUsage x="3"/>
      </fieldsUsage>
    </cacheHierarchy>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hidden="1">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oneField="1" hidden="1">
      <fieldsUsage count="1">
        <fieldUsage x="2"/>
      </fieldsUsage>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7847222" backgroundQuery="1" createdVersion="8" refreshedVersion="8" minRefreshableVersion="3" recordCount="0" supportSubquery="1" supportAdvancedDrill="1" xr:uid="{9247A783-3749-462A-BDC1-2CB4F1A77ABD}">
  <cacheSource type="external" connectionId="1"/>
  <cacheFields count="5">
    <cacheField name="[Range].[Product_Category].[Product_Category]" caption="Product_Category" numFmtId="0" level="1">
      <sharedItems count="5">
        <s v="Beauty &amp; Health"/>
        <s v="Clothing"/>
        <s v="Electronics"/>
        <s v="Home &amp; Kitchen"/>
        <s v="Sports &amp; Outdoors"/>
      </sharedItems>
    </cacheField>
    <cacheField name="[Range].[Sales_Channel].[Sales_Channel]" caption="Sales_Channel" numFmtId="0" hierarchy="4" level="1">
      <sharedItems containsSemiMixedTypes="0" containsNonDate="0" containsString="0"/>
    </cacheField>
    <cacheField name="[Range].[Customer_Segment].[Customer_Segment]" caption="Customer_Segment" numFmtId="0" hierarchy="1" level="1">
      <sharedItems count="3">
        <s v="Business"/>
        <s v="Individual"/>
        <s v="Wholesale"/>
      </sharedItems>
    </cacheField>
    <cacheField name="[Measures].[Count of Customer_Segment]" caption="Count of Customer_Segment" numFmtId="0" hierarchy="23" level="32767"/>
    <cacheField name="[Range].[Region].[Region]" caption="Region" numFmtId="0" hierarchy="3" level="1">
      <sharedItems containsSemiMixedTypes="0" containsNonDate="0" containsString="0"/>
    </cacheField>
  </cacheFields>
  <cacheHierarchies count="24">
    <cacheHierarchy uniqueName="[Range].[Product_Category]" caption="Product_Category" attribute="1" defaultMemberUniqueName="[Range].[Product_Category].[All]" allUniqueName="[Range].[Product_Category].[All]" dimensionUniqueName="[Range]" displayFolder="" count="2" memberValueDatatype="130" unbalanced="0">
      <fieldsUsage count="2">
        <fieldUsage x="-1"/>
        <fieldUsage x="0"/>
      </fieldsUsage>
    </cacheHierarchy>
    <cacheHierarchy uniqueName="[Range].[Customer_Segment]" caption="Customer_Segment" attribute="1" defaultMemberUniqueName="[Range].[Customer_Segment].[All]" allUniqueName="[Range].[Customer_Segment].[All]" dimensionUniqueName="[Range]" displayFolder="" count="2" memberValueDatatype="130" unbalanced="0">
      <fieldsUsage count="2">
        <fieldUsage x="-1"/>
        <fieldUsage x="2"/>
      </fieldsUsage>
    </cacheHierarchy>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4"/>
      </fieldsUsage>
    </cacheHierarchy>
    <cacheHierarchy uniqueName="[Range].[Sales_Channel]" caption="Sales_Channel" attribute="1" defaultMemberUniqueName="[Range].[Sales_Channel].[All]" allUniqueName="[Range].[Sales_Channel].[All]" dimensionUniqueName="[Range]" displayFolder="" count="2" memberValueDatatype="130" unbalanced="0">
      <fieldsUsage count="2">
        <fieldUsage x="-1"/>
        <fieldUsage x="1"/>
      </fieldsUsage>
    </cacheHierarchy>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hidden="1">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oneField="1" hidden="1">
      <fieldsUsage count="1">
        <fieldUsage x="3"/>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8425923" backgroundQuery="1" createdVersion="8" refreshedVersion="8" minRefreshableVersion="3" recordCount="0" supportSubquery="1" supportAdvancedDrill="1" xr:uid="{AD8DC17C-9237-4EC3-A8F0-6705564BED11}">
  <cacheSource type="external" connectionId="1"/>
  <cacheFields count="5">
    <cacheField name="[Range].[Product_Category].[Product_Category]" caption="Product_Category" numFmtId="0" level="1">
      <sharedItems count="5">
        <s v="Beauty &amp; Health"/>
        <s v="Clothing"/>
        <s v="Electronics"/>
        <s v="Home &amp; Kitchen"/>
        <s v="Sports &amp; Outdoors"/>
      </sharedItems>
    </cacheField>
    <cacheField name="[Range].[Customer_Segment].[Customer_Segment]" caption="Customer_Segment" numFmtId="0" hierarchy="1" level="1">
      <sharedItems count="3">
        <s v="Business"/>
        <s v="Individual"/>
        <s v="Wholesale"/>
      </sharedItems>
    </cacheField>
    <cacheField name="[Measures].[Sum of Sale_Amount]" caption="Sum of Sale_Amount" numFmtId="0" hierarchy="14" level="32767"/>
    <cacheField name="[Range].[Sales_Channel].[Sales_Channel]" caption="Sales_Channel" numFmtId="0" hierarchy="4" level="1">
      <sharedItems containsSemiMixedTypes="0" containsNonDate="0" containsString="0"/>
    </cacheField>
    <cacheField name="[Range].[Region].[Region]" caption="Region" numFmtId="0" hierarchy="3" level="1">
      <sharedItems containsSemiMixedTypes="0" containsNonDate="0" containsString="0"/>
    </cacheField>
  </cacheFields>
  <cacheHierarchies count="24">
    <cacheHierarchy uniqueName="[Range].[Product_Category]" caption="Product_Category" attribute="1" defaultMemberUniqueName="[Range].[Product_Category].[All]" allUniqueName="[Range].[Product_Category].[All]" dimensionUniqueName="[Range]" displayFolder="" count="2" memberValueDatatype="130" unbalanced="0">
      <fieldsUsage count="2">
        <fieldUsage x="-1"/>
        <fieldUsage x="0"/>
      </fieldsUsage>
    </cacheHierarchy>
    <cacheHierarchy uniqueName="[Range].[Customer_Segment]" caption="Customer_Segment" attribute="1" defaultMemberUniqueName="[Range].[Customer_Segment].[All]" allUniqueName="[Range].[Customer_Segment].[All]" dimensionUniqueName="[Range]" displayFolder="" count="2" memberValueDatatype="130" unbalanced="0">
      <fieldsUsage count="2">
        <fieldUsage x="-1"/>
        <fieldUsage x="1"/>
      </fieldsUsage>
    </cacheHierarchy>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4"/>
      </fieldsUsage>
    </cacheHierarchy>
    <cacheHierarchy uniqueName="[Range].[Sales_Channel]" caption="Sales_Channel" attribute="1" defaultMemberUniqueName="[Range].[Sales_Channel].[All]" allUniqueName="[Range].[Sales_Channel].[All]" dimensionUniqueName="[Range]" displayFolder="" count="2" memberValueDatatype="130" unbalanced="0">
      <fieldsUsage count="2">
        <fieldUsage x="-1"/>
        <fieldUsage x="3"/>
      </fieldsUsage>
    </cacheHierarchy>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9120369" backgroundQuery="1" createdVersion="8" refreshedVersion="8" minRefreshableVersion="3" recordCount="0" supportSubquery="1" supportAdvancedDrill="1" xr:uid="{4D75F130-489B-430F-A648-D5169337BF12}">
  <cacheSource type="external" connectionId="1"/>
  <cacheFields count="3">
    <cacheField name="[Range].[Region].[Region]" caption="Region" numFmtId="0" hierarchy="3" level="1">
      <sharedItems count="4">
        <s v="East"/>
        <s v="North"/>
        <s v="South"/>
        <s v="West"/>
      </sharedItems>
    </cacheField>
    <cacheField name="[Measures].[Sum of Sale_Amount]" caption="Sum of Sale_Amount" numFmtId="0" hierarchy="14" level="32767"/>
    <cacheField name="[Measures].[Sum of Quantity_Sold]" caption="Sum of Quantity_Sold" numFmtId="0" hierarchy="15" level="32767"/>
  </cacheFields>
  <cacheHierarchies count="24">
    <cacheHierarchy uniqueName="[Range].[Product_Category]" caption="Product_Category" attribute="1" defaultMemberUniqueName="[Range].[Product_Category].[All]" allUniqueName="[Range].[Product_Category].[All]" dimensionUniqueName="[Range]" displayFolder="" count="0" memberValueDatatype="130" unbalanced="0"/>
    <cacheHierarchy uniqueName="[Range].[Customer_Segment]" caption="Customer_Segment" attribute="1" defaultMemberUniqueName="[Range].[Customer_Segment].[All]" allUniqueName="[Range].[Customer_Segment].[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_Channel]" caption="Sales_Channel" attribute="1" defaultMemberUniqueName="[Range].[Sales_Channel].[All]" allUniqueName="[Range].[Sales_Channel].[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8.935489699077" backgroundQuery="1" createdVersion="8" refreshedVersion="8" minRefreshableVersion="3" recordCount="0" supportSubquery="1" supportAdvancedDrill="1" xr:uid="{BA44AB9D-AFD3-47A1-BD08-D40EF405219F}">
  <cacheSource type="external" connectionId="1"/>
  <cacheFields count="3">
    <cacheField name="[Range].[City].[City]" caption="City" numFmtId="0" hierarchy="11" level="1">
      <sharedItems count="10">
        <s v="Chicago"/>
        <s v="Dallas"/>
        <s v="Houston"/>
        <s v="Los Angeles"/>
        <s v="New York"/>
        <s v="Philadelphia"/>
        <s v="Phoenix"/>
        <s v="San Antonio"/>
        <s v="San Diego"/>
        <s v="San Jose"/>
      </sharedItems>
    </cacheField>
    <cacheField name="[Measures].[Sum of Sale_Amount]" caption="Sum of Sale_Amount" numFmtId="0" hierarchy="14" level="32767"/>
    <cacheField name="[Range].[Region].[Region]" caption="Region" numFmtId="0" hierarchy="3" level="1">
      <sharedItems containsSemiMixedTypes="0" containsNonDate="0" containsString="0"/>
    </cacheField>
  </cacheFields>
  <cacheHierarchies count="24">
    <cacheHierarchy uniqueName="[Range].[Product_Category]" caption="Product_Category" attribute="1" defaultMemberUniqueName="[Range].[Product_Category].[All]" allUniqueName="[Range].[Product_Category].[All]" dimensionUniqueName="[Range]" displayFolder="" count="0" memberValueDatatype="130" unbalanced="0"/>
    <cacheHierarchy uniqueName="[Range].[Customer_Segment]" caption="Customer_Segment" attribute="1" defaultMemberUniqueName="[Range].[Customer_Segment].[All]" allUniqueName="[Range].[Customer_Segment].[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_Channel]" caption="Sales_Channel" attribute="1" defaultMemberUniqueName="[Range].[Sales_Channel].[All]" allUniqueName="[Range].[Sales_Channel].[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54.442734143522" backgroundQuery="1" createdVersion="3" refreshedVersion="8" minRefreshableVersion="3" recordCount="0" supportSubquery="1" supportAdvancedDrill="1" xr:uid="{E46072E5-3A12-4491-9199-78685D3425BE}">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Product_Category]" caption="Product_Category" attribute="1" defaultMemberUniqueName="[Range].[Product_Category].[All]" allUniqueName="[Range].[Product_Category].[All]" dimensionUniqueName="[Range]" displayFolder="" count="0" memberValueDatatype="130" unbalanced="0"/>
    <cacheHierarchy uniqueName="[Range].[Customer_Segment]" caption="Customer_Segment" attribute="1" defaultMemberUniqueName="[Range].[Customer_Segment].[All]" allUniqueName="[Range].[Customer_Segment].[All]" dimensionUniqueName="[Range]" displayFolder="" count="0" memberValueDatatype="130" unbalanced="0"/>
    <cacheHierarchy uniqueName="[Range].[Payment_Method]" caption="Payment_Method" attribute="1" defaultMemberUniqueName="[Range].[Payment_Method].[All]" allUniqueName="[Range].[Payment_Method].[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_Channel]" caption="Sales_Channel" attribute="1" defaultMemberUniqueName="[Range].[Sales_Channel].[All]" allUniqueName="[Range].[Sales_Channel].[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Range].[Sale_Amount]" caption="Sale_Amount" attribute="1" defaultMemberUniqueName="[Range].[Sale_Amount].[All]" allUniqueName="[Range].[Sale_Amount].[All]" dimensionUniqueName="[Range]" displayFolder="" count="0" memberValueDatatype="5" unbalanced="0"/>
    <cacheHierarchy uniqueName="[Range].[Quantity_Sold]" caption="Quantity_Sold" attribute="1" defaultMemberUniqueName="[Range].[Quantity_Sold].[All]" allUniqueName="[Range].[Quantity_Sold].[All]" dimensionUniqueName="[Range]" displayFolder="" count="0" memberValueDatatype="5" unbalanced="0"/>
    <cacheHierarchy uniqueName="[Range].[Discount_Rate]" caption="Discount_Rate" attribute="1" defaultMemberUniqueName="[Range].[Discount_Rate].[All]" allUniqueName="[Range].[Discount_Rate].[All]" dimensionUniqueName="[Range]" displayFolder="" count="0" memberValueDatatype="5" unbalanced="0"/>
    <cacheHierarchy uniqueName="[Range].[Profit_Margin]" caption="Profit_Margin" attribute="1" defaultMemberUniqueName="[Range].[Profit_Margin].[All]" allUniqueName="[Range].[Profit_Margin].[All]" dimensionUniqueName="[Range]" displayFolder="" count="0" memberValueDatatype="5" unbalanced="0"/>
    <cacheHierarchy uniqueName="[Range].[Delivery_Days]" caption="Delivery_Days" attribute="1" defaultMemberUniqueName="[Range].[Delivery_Days].[All]" allUniqueName="[Range].[Delivery_Days].[All]" dimensionUniqueName="[Range]" displayFolder="" count="0" memberValueDatatype="5" unbalanced="0"/>
    <cacheHierarchy uniqueName="[Range].[City]" caption="City" attribute="1" defaultMemberUniqueName="[Range].[City].[All]" allUniqueName="[Range].[Cit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_Amount]" caption="Sum of Sale_Amount" measure="1" displayFolder="" measureGroup="Range" count="0" hidden="1">
      <extLst>
        <ext xmlns:x15="http://schemas.microsoft.com/office/spreadsheetml/2010/11/main" uri="{B97F6D7D-B522-45F9-BDA1-12C45D357490}">
          <x15:cacheHierarchy aggregatedColumn="6"/>
        </ext>
      </extLst>
    </cacheHierarchy>
    <cacheHierarchy uniqueName="[Measures].[Sum of Quantity_Sold]" caption="Sum of Quantity_Sold" measure="1" displayFolder="" measureGroup="Range" count="0" hidden="1">
      <extLst>
        <ext xmlns:x15="http://schemas.microsoft.com/office/spreadsheetml/2010/11/main" uri="{B97F6D7D-B522-45F9-BDA1-12C45D357490}">
          <x15:cacheHierarchy aggregatedColumn="7"/>
        </ext>
      </extLst>
    </cacheHierarchy>
    <cacheHierarchy uniqueName="[Measures].[Sum of Discount_Rate]" caption="Sum of Discount_Rate" measure="1" displayFolder="" measureGroup="Range" count="0" hidden="1">
      <extLst>
        <ext xmlns:x15="http://schemas.microsoft.com/office/spreadsheetml/2010/11/main" uri="{B97F6D7D-B522-45F9-BDA1-12C45D357490}">
          <x15:cacheHierarchy aggregatedColumn="8"/>
        </ext>
      </extLst>
    </cacheHierarchy>
    <cacheHierarchy uniqueName="[Measures].[Sum of Profit_Margin]" caption="Sum of Profit_Margin" measure="1" displayFolder="" measureGroup="Range" count="0" hidden="1">
      <extLst>
        <ext xmlns:x15="http://schemas.microsoft.com/office/spreadsheetml/2010/11/main" uri="{B97F6D7D-B522-45F9-BDA1-12C45D357490}">
          <x15:cacheHierarchy aggregatedColumn="9"/>
        </ext>
      </extLst>
    </cacheHierarchy>
    <cacheHierarchy uniqueName="[Measures].[Sum of Delivery_Days]" caption="Sum of Delivery_Days"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_Rate]" caption="Average of Discount_Rate" measure="1" displayFolder="" measureGroup="Range" count="0" hidden="1">
      <extLst>
        <ext xmlns:x15="http://schemas.microsoft.com/office/spreadsheetml/2010/11/main" uri="{B97F6D7D-B522-45F9-BDA1-12C45D357490}">
          <x15:cacheHierarchy aggregatedColumn="8"/>
        </ext>
      </extLst>
    </cacheHierarchy>
    <cacheHierarchy uniqueName="[Measures].[Average of Profit_Margin]" caption="Average of Profit_Margin" measure="1" displayFolder="" measureGroup="Range" count="0" hidden="1">
      <extLst>
        <ext xmlns:x15="http://schemas.microsoft.com/office/spreadsheetml/2010/11/main" uri="{B97F6D7D-B522-45F9-BDA1-12C45D357490}">
          <x15:cacheHierarchy aggregatedColumn="9"/>
        </ext>
      </extLst>
    </cacheHierarchy>
    <cacheHierarchy uniqueName="[Measures].[Average of Sale_Amount]" caption="Average of Sale_Amount" measure="1" displayFolder="" measureGroup="Range" count="0" hidden="1">
      <extLst>
        <ext xmlns:x15="http://schemas.microsoft.com/office/spreadsheetml/2010/11/main" uri="{B97F6D7D-B522-45F9-BDA1-12C45D357490}">
          <x15:cacheHierarchy aggregatedColumn="6"/>
        </ext>
      </extLst>
    </cacheHierarchy>
    <cacheHierarchy uniqueName="[Measures].[Average of Quantity_Sold]" caption="Average of Quantity_Sold" measure="1" displayFolder="" measureGroup="Range" count="0" hidden="1">
      <extLst>
        <ext xmlns:x15="http://schemas.microsoft.com/office/spreadsheetml/2010/11/main" uri="{B97F6D7D-B522-45F9-BDA1-12C45D357490}">
          <x15:cacheHierarchy aggregatedColumn="7"/>
        </ext>
      </extLst>
    </cacheHierarchy>
    <cacheHierarchy uniqueName="[Measures].[Count of Customer_Segment]" caption="Count of Customer_Segment" measure="1" displayFolder="" measureGroup="Range"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6910923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E2139-A859-4C87-A87A-0BF8AD2721B0}" name="PivotTable4" cacheId="36" applyNumberFormats="0" applyBorderFormats="0" applyFontFormats="0" applyPatternFormats="0" applyAlignmentFormats="0" applyWidthHeightFormats="1" dataCaption="Values" tag="9db63e9e-7124-4c59-9f13-78e6af54a164" updatedVersion="8" minRefreshableVersion="3" useAutoFormatting="1" subtotalHiddenItems="1" itemPrintTitles="1" createdVersion="8" indent="0" outline="1" outlineData="1" multipleFieldFilters="0" chartFormat="8">
  <location ref="O4:S11" firstHeaderRow="1" firstDataRow="2" firstDataCol="1"/>
  <pivotFields count="5">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4">
    <i>
      <x/>
    </i>
    <i>
      <x v="1"/>
    </i>
    <i>
      <x v="2"/>
    </i>
    <i t="grand">
      <x/>
    </i>
  </colItems>
  <dataFields count="1">
    <dataField name="Sum of Sale_Amount" fld="2" baseField="0" baseItem="0" numFmtId="1"/>
  </dataFields>
  <formats count="1">
    <format dxfId="0">
      <pivotArea type="all" dataOnly="0" outline="0" fieldPosition="0"/>
    </format>
  </formats>
  <chartFormats count="3">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s>
  <pivotHierarchies count="24">
    <pivotHierarchy dragToData="1"/>
    <pivotHierarchy multipleItemSelectionAllowed="1" dragToData="1"/>
    <pivotHierarchy multipleItemSelectionAllowed="1" dragToData="1"/>
    <pivotHierarchy multipleItemSelectionAllowed="1" dragToData="1"/>
    <pivotHierarchy multipleItemSelectionAllowed="1" dragToData="1">
      <members count="1" level="1">
        <member name="[Range].[Sales_Channel].&amp;[Catalo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81D67C-85E9-418C-AA28-7D172DBC6A84}" name="PivotTable6"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X4:Y15" firstHeaderRow="1" firstDataRow="1" firstDataCol="1"/>
  <pivotFields count="3">
    <pivotField axis="axisRow" allDrilled="1" subtotalTop="0" showAll="0"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Sum of Sale_Amount" fld="1" baseField="0" baseItem="0" numFmtId="1"/>
  </dataFields>
  <formats count="6">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grandRow="1" outline="0" fieldPosition="0"/>
    </format>
    <format dxfId="1">
      <pivotArea dataOnly="0" labelOnly="1" outline="0" axis="axisValues" fieldPosition="0"/>
    </format>
  </formats>
  <chartFormats count="11">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5" format="16">
      <pivotArea type="data" outline="0" fieldPosition="0">
        <references count="2">
          <reference field="4294967294" count="1" selected="0">
            <x v="0"/>
          </reference>
          <reference field="0" count="1" selected="0">
            <x v="3"/>
          </reference>
        </references>
      </pivotArea>
    </chartFormat>
    <chartFormat chart="5" format="17">
      <pivotArea type="data" outline="0" fieldPosition="0">
        <references count="2">
          <reference field="4294967294" count="1" selected="0">
            <x v="0"/>
          </reference>
          <reference field="0" count="1" selected="0">
            <x v="4"/>
          </reference>
        </references>
      </pivotArea>
    </chartFormat>
    <chartFormat chart="5" format="18">
      <pivotArea type="data" outline="0" fieldPosition="0">
        <references count="2">
          <reference field="4294967294" count="1" selected="0">
            <x v="0"/>
          </reference>
          <reference field="0" count="1" selected="0">
            <x v="5"/>
          </reference>
        </references>
      </pivotArea>
    </chartFormat>
    <chartFormat chart="5" format="19">
      <pivotArea type="data" outline="0" fieldPosition="0">
        <references count="2">
          <reference field="4294967294" count="1" selected="0">
            <x v="0"/>
          </reference>
          <reference field="0" count="1" selected="0">
            <x v="6"/>
          </reference>
        </references>
      </pivotArea>
    </chartFormat>
    <chartFormat chart="5" format="20">
      <pivotArea type="data" outline="0" fieldPosition="0">
        <references count="2">
          <reference field="4294967294" count="1" selected="0">
            <x v="0"/>
          </reference>
          <reference field="0" count="1" selected="0">
            <x v="7"/>
          </reference>
        </references>
      </pivotArea>
    </chartFormat>
    <chartFormat chart="5" format="21">
      <pivotArea type="data" outline="0" fieldPosition="0">
        <references count="2">
          <reference field="4294967294" count="1" selected="0">
            <x v="0"/>
          </reference>
          <reference field="0" count="1" selected="0">
            <x v="8"/>
          </reference>
        </references>
      </pivotArea>
    </chartFormat>
    <chartFormat chart="5" format="22">
      <pivotArea type="data" outline="0" fieldPosition="0">
        <references count="2">
          <reference field="4294967294" count="1" selected="0">
            <x v="0"/>
          </reference>
          <reference field="0" count="1" selected="0">
            <x v="9"/>
          </reference>
        </references>
      </pivotArea>
    </chartFormat>
  </chartFormats>
  <pivotHierarchies count="24">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B10F92-80D4-4375-A4C2-67E69C40E2A8}" name="PivotTable3" cacheId="33" applyNumberFormats="0" applyBorderFormats="0" applyFontFormats="0" applyPatternFormats="0" applyAlignmentFormats="0" applyWidthHeightFormats="1" dataCaption="Values" tag="9bd7c1f9-2b19-40d0-b678-167fce1986fb" updatedVersion="8" minRefreshableVersion="3" useAutoFormatting="1" subtotalHiddenItems="1" rowGrandTotals="0" colGrandTotals="0" itemPrintTitles="1" createdVersion="8" indent="0" outline="1" outlineData="1" multipleFieldFilters="0" chartFormat="9">
  <location ref="I4:L10" firstHeaderRow="1" firstDataRow="2" firstDataCol="1"/>
  <pivotFields count="5">
    <pivotField axis="axisRow" allDrilled="1" subtotalTop="0" showAll="0" defaultSubtotal="0" defaultAttributeDrillState="1">
      <items count="5">
        <item x="0"/>
        <item x="1"/>
        <item x="2"/>
        <item x="3"/>
        <item x="4"/>
      </items>
    </pivotField>
    <pivotField allDrilled="1" subtotalTop="0" showAll="0" dataSourceSort="1" defaultSubtotal="0" defaultAttributeDrillState="1"/>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3">
    <i>
      <x/>
    </i>
    <i>
      <x v="1"/>
    </i>
    <i>
      <x v="2"/>
    </i>
  </colItems>
  <dataFields count="1">
    <dataField name="Count of Customer_Segment" fld="3" subtotal="count" baseField="0" baseItem="0"/>
  </dataFields>
  <chartFormats count="19">
    <chartFormat chart="5" format="21" series="1">
      <pivotArea type="data" outline="0" fieldPosition="0">
        <references count="2">
          <reference field="4294967294" count="1" selected="0">
            <x v="0"/>
          </reference>
          <reference field="2" count="1" selected="0">
            <x v="0"/>
          </reference>
        </references>
      </pivotArea>
    </chartFormat>
    <chartFormat chart="5" format="22">
      <pivotArea type="data" outline="0" fieldPosition="0">
        <references count="3">
          <reference field="4294967294" count="1" selected="0">
            <x v="0"/>
          </reference>
          <reference field="0" count="1" selected="0">
            <x v="0"/>
          </reference>
          <reference field="2" count="1" selected="0">
            <x v="0"/>
          </reference>
        </references>
      </pivotArea>
    </chartFormat>
    <chartFormat chart="5" format="23">
      <pivotArea type="data" outline="0" fieldPosition="0">
        <references count="3">
          <reference field="4294967294" count="1" selected="0">
            <x v="0"/>
          </reference>
          <reference field="0" count="1" selected="0">
            <x v="1"/>
          </reference>
          <reference field="2" count="1" selected="0">
            <x v="0"/>
          </reference>
        </references>
      </pivotArea>
    </chartFormat>
    <chartFormat chart="5" format="24">
      <pivotArea type="data" outline="0" fieldPosition="0">
        <references count="3">
          <reference field="4294967294" count="1" selected="0">
            <x v="0"/>
          </reference>
          <reference field="0" count="1" selected="0">
            <x v="2"/>
          </reference>
          <reference field="2" count="1" selected="0">
            <x v="0"/>
          </reference>
        </references>
      </pivotArea>
    </chartFormat>
    <chartFormat chart="5" format="25">
      <pivotArea type="data" outline="0" fieldPosition="0">
        <references count="3">
          <reference field="4294967294" count="1" selected="0">
            <x v="0"/>
          </reference>
          <reference field="0" count="1" selected="0">
            <x v="3"/>
          </reference>
          <reference field="2" count="1" selected="0">
            <x v="0"/>
          </reference>
        </references>
      </pivotArea>
    </chartFormat>
    <chartFormat chart="5" format="26">
      <pivotArea type="data" outline="0" fieldPosition="0">
        <references count="3">
          <reference field="4294967294" count="1" selected="0">
            <x v="0"/>
          </reference>
          <reference field="0" count="1" selected="0">
            <x v="4"/>
          </reference>
          <reference field="2" count="1" selected="0">
            <x v="0"/>
          </reference>
        </references>
      </pivotArea>
    </chartFormat>
    <chartFormat chart="5" format="27" series="1">
      <pivotArea type="data" outline="0" fieldPosition="0">
        <references count="2">
          <reference field="4294967294" count="1" selected="0">
            <x v="0"/>
          </reference>
          <reference field="2" count="1" selected="0">
            <x v="1"/>
          </reference>
        </references>
      </pivotArea>
    </chartFormat>
    <chartFormat chart="5" format="28">
      <pivotArea type="data" outline="0" fieldPosition="0">
        <references count="3">
          <reference field="4294967294" count="1" selected="0">
            <x v="0"/>
          </reference>
          <reference field="0" count="1" selected="0">
            <x v="0"/>
          </reference>
          <reference field="2" count="1" selected="0">
            <x v="1"/>
          </reference>
        </references>
      </pivotArea>
    </chartFormat>
    <chartFormat chart="5" format="29">
      <pivotArea type="data" outline="0" fieldPosition="0">
        <references count="3">
          <reference field="4294967294" count="1" selected="0">
            <x v="0"/>
          </reference>
          <reference field="0" count="1" selected="0">
            <x v="1"/>
          </reference>
          <reference field="2" count="1" selected="0">
            <x v="1"/>
          </reference>
        </references>
      </pivotArea>
    </chartFormat>
    <chartFormat chart="5" format="30">
      <pivotArea type="data" outline="0" fieldPosition="0">
        <references count="3">
          <reference field="4294967294" count="1" selected="0">
            <x v="0"/>
          </reference>
          <reference field="0" count="1" selected="0">
            <x v="2"/>
          </reference>
          <reference field="2" count="1" selected="0">
            <x v="1"/>
          </reference>
        </references>
      </pivotArea>
    </chartFormat>
    <chartFormat chart="5" format="31">
      <pivotArea type="data" outline="0" fieldPosition="0">
        <references count="3">
          <reference field="4294967294" count="1" selected="0">
            <x v="0"/>
          </reference>
          <reference field="0" count="1" selected="0">
            <x v="3"/>
          </reference>
          <reference field="2" count="1" selected="0">
            <x v="1"/>
          </reference>
        </references>
      </pivotArea>
    </chartFormat>
    <chartFormat chart="5" format="32">
      <pivotArea type="data" outline="0" fieldPosition="0">
        <references count="3">
          <reference field="4294967294" count="1" selected="0">
            <x v="0"/>
          </reference>
          <reference field="0" count="1" selected="0">
            <x v="4"/>
          </reference>
          <reference field="2" count="1" selected="0">
            <x v="1"/>
          </reference>
        </references>
      </pivotArea>
    </chartFormat>
    <chartFormat chart="5" format="33" series="1">
      <pivotArea type="data" outline="0" fieldPosition="0">
        <references count="2">
          <reference field="4294967294" count="1" selected="0">
            <x v="0"/>
          </reference>
          <reference field="2" count="1" selected="0">
            <x v="2"/>
          </reference>
        </references>
      </pivotArea>
    </chartFormat>
    <chartFormat chart="5" format="34">
      <pivotArea type="data" outline="0" fieldPosition="0">
        <references count="3">
          <reference field="4294967294" count="1" selected="0">
            <x v="0"/>
          </reference>
          <reference field="0" count="1" selected="0">
            <x v="0"/>
          </reference>
          <reference field="2" count="1" selected="0">
            <x v="2"/>
          </reference>
        </references>
      </pivotArea>
    </chartFormat>
    <chartFormat chart="5" format="35">
      <pivotArea type="data" outline="0" fieldPosition="0">
        <references count="3">
          <reference field="4294967294" count="1" selected="0">
            <x v="0"/>
          </reference>
          <reference field="0" count="1" selected="0">
            <x v="1"/>
          </reference>
          <reference field="2" count="1" selected="0">
            <x v="2"/>
          </reference>
        </references>
      </pivotArea>
    </chartFormat>
    <chartFormat chart="5" format="36">
      <pivotArea type="data" outline="0" fieldPosition="0">
        <references count="3">
          <reference field="4294967294" count="1" selected="0">
            <x v="0"/>
          </reference>
          <reference field="0" count="1" selected="0">
            <x v="2"/>
          </reference>
          <reference field="2" count="1" selected="0">
            <x v="2"/>
          </reference>
        </references>
      </pivotArea>
    </chartFormat>
    <chartFormat chart="5" format="37">
      <pivotArea type="data" outline="0" fieldPosition="0">
        <references count="3">
          <reference field="4294967294" count="1" selected="0">
            <x v="0"/>
          </reference>
          <reference field="0" count="1" selected="0">
            <x v="3"/>
          </reference>
          <reference field="2" count="1" selected="0">
            <x v="2"/>
          </reference>
        </references>
      </pivotArea>
    </chartFormat>
    <chartFormat chart="5" format="38">
      <pivotArea type="data" outline="0" fieldPosition="0">
        <references count="3">
          <reference field="4294967294" count="1" selected="0">
            <x v="0"/>
          </reference>
          <reference field="0" count="1" selected="0">
            <x v="4"/>
          </reference>
          <reference field="2" count="1" selected="0">
            <x v="2"/>
          </reference>
        </references>
      </pivotArea>
    </chartFormat>
    <chartFormat chart="5" format="39" series="1">
      <pivotArea type="data" outline="0" fieldPosition="0">
        <references count="1">
          <reference field="4294967294" count="1" selected="0">
            <x v="0"/>
          </reference>
        </references>
      </pivotArea>
    </chartFormat>
  </chartFormats>
  <pivotHierarchies count="24">
    <pivotHierarchy dragToData="1"/>
    <pivotHierarchy multipleItemSelectionAllowed="1" dragToData="1"/>
    <pivotHierarchy multipleItemSelectionAllowed="1" dragToData="1"/>
    <pivotHierarchy multipleItemSelectionAllowed="1" dragToData="1"/>
    <pivotHierarchy multipleItemSelectionAllowed="1" dragToData="1">
      <members count="1" level="1">
        <member name="[Range].[Sales_Channel].&amp;[Catalo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4752DC-307B-4811-9A22-97348BE85F15}" name="PivotTable2" cacheId="27" applyNumberFormats="0" applyBorderFormats="0" applyFontFormats="0" applyPatternFormats="0" applyAlignmentFormats="0" applyWidthHeightFormats="1" dataCaption="Values" tag="cf954846-45ef-41be-b261-7e0bff8d85bf" updatedVersion="8" minRefreshableVersion="3" useAutoFormatting="1" subtotalHiddenItems="1" rowGrandTotals="0" colGrandTotals="0" itemPrintTitles="1" createdVersion="8" indent="0" outline="1" outlineData="1" multipleFieldFilters="0" chartFormat="16">
  <location ref="E4:G28" firstHeaderRow="0"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24">
    <i>
      <x/>
    </i>
    <i r="1">
      <x/>
    </i>
    <i r="1">
      <x v="1"/>
    </i>
    <i r="1">
      <x v="2"/>
    </i>
    <i r="1">
      <x v="3"/>
    </i>
    <i r="1">
      <x v="4"/>
    </i>
    <i>
      <x v="1"/>
    </i>
    <i r="1">
      <x/>
    </i>
    <i r="1">
      <x v="1"/>
    </i>
    <i r="1">
      <x v="2"/>
    </i>
    <i r="1">
      <x v="3"/>
    </i>
    <i r="1">
      <x v="4"/>
    </i>
    <i>
      <x v="2"/>
    </i>
    <i r="1">
      <x/>
    </i>
    <i r="1">
      <x v="1"/>
    </i>
    <i r="1">
      <x v="2"/>
    </i>
    <i r="1">
      <x v="3"/>
    </i>
    <i r="1">
      <x v="4"/>
    </i>
    <i>
      <x v="3"/>
    </i>
    <i r="1">
      <x/>
    </i>
    <i r="1">
      <x v="1"/>
    </i>
    <i r="1">
      <x v="2"/>
    </i>
    <i r="1">
      <x v="3"/>
    </i>
    <i r="1">
      <x v="4"/>
    </i>
  </rowItems>
  <colFields count="1">
    <field x="-2"/>
  </colFields>
  <colItems count="2">
    <i>
      <x/>
    </i>
    <i i="1">
      <x v="1"/>
    </i>
  </colItems>
  <dataFields count="2">
    <dataField name="Average of Sale_Amount" fld="2" subtotal="average" baseField="0" baseItem="0"/>
    <dataField name="Average of Quantity_Sold" fld="3" subtotal="average" baseField="0" baseItem="0"/>
  </dataFields>
  <formats count="9">
    <format dxfId="15">
      <pivotArea collapsedLevelsAreSubtotals="1" fieldPosition="0">
        <references count="2">
          <reference field="0" count="1" selected="0">
            <x v="0"/>
          </reference>
          <reference field="1" count="0"/>
        </references>
      </pivotArea>
    </format>
    <format dxfId="14">
      <pivotArea collapsedLevelsAreSubtotals="1" fieldPosition="0">
        <references count="1">
          <reference field="0" count="1">
            <x v="1"/>
          </reference>
        </references>
      </pivotArea>
    </format>
    <format dxfId="13">
      <pivotArea collapsedLevelsAreSubtotals="1" fieldPosition="0">
        <references count="2">
          <reference field="0" count="1" selected="0">
            <x v="1"/>
          </reference>
          <reference field="1" count="0"/>
        </references>
      </pivotArea>
    </format>
    <format dxfId="12">
      <pivotArea collapsedLevelsAreSubtotals="1" fieldPosition="0">
        <references count="1">
          <reference field="0" count="1">
            <x v="2"/>
          </reference>
        </references>
      </pivotArea>
    </format>
    <format dxfId="11">
      <pivotArea collapsedLevelsAreSubtotals="1" fieldPosition="0">
        <references count="2">
          <reference field="0" count="1" selected="0">
            <x v="2"/>
          </reference>
          <reference field="1" count="0"/>
        </references>
      </pivotArea>
    </format>
    <format dxfId="10">
      <pivotArea collapsedLevelsAreSubtotals="1" fieldPosition="0">
        <references count="1">
          <reference field="0" count="1">
            <x v="3"/>
          </reference>
        </references>
      </pivotArea>
    </format>
    <format dxfId="9">
      <pivotArea collapsedLevelsAreSubtotals="1" fieldPosition="0">
        <references count="2">
          <reference field="0" count="1" selected="0">
            <x v="3"/>
          </reference>
          <reference field="1" count="0"/>
        </references>
      </pivotArea>
    </format>
    <format dxfId="8">
      <pivotArea grandRow="1" outline="0" collapsedLevelsAreSubtotals="1" fieldPosition="0"/>
    </format>
    <format dxfId="7">
      <pivotArea collapsedLevelsAreSubtotals="1" fieldPosition="0">
        <references count="1">
          <reference field="0" count="1">
            <x v="0"/>
          </reference>
        </references>
      </pivotArea>
    </format>
  </format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pivotArea type="data" outline="0" fieldPosition="0">
        <references count="3">
          <reference field="4294967294" count="1" selected="0">
            <x v="0"/>
          </reference>
          <reference field="0" count="1" selected="0">
            <x v="2"/>
          </reference>
          <reference field="1" count="1" selected="0">
            <x v="3"/>
          </reference>
        </references>
      </pivotArea>
    </chartFormat>
    <chartFormat chart="3" format="13">
      <pivotArea type="data" outline="0" fieldPosition="0">
        <references count="3">
          <reference field="4294967294" count="1" selected="0">
            <x v="0"/>
          </reference>
          <reference field="0" count="1" selected="0">
            <x v="2"/>
          </reference>
          <reference field="1" count="1" selected="0">
            <x v="4"/>
          </reference>
        </references>
      </pivotArea>
    </chartFormat>
    <chartFormat chart="3" format="14">
      <pivotArea type="data" outline="0" fieldPosition="0">
        <references count="3">
          <reference field="4294967294" count="1" selected="0">
            <x v="0"/>
          </reference>
          <reference field="0" count="1" selected="0">
            <x v="3"/>
          </reference>
          <reference field="1" count="1" selected="0">
            <x v="0"/>
          </reference>
        </references>
      </pivotArea>
    </chartFormat>
    <chartFormat chart="3" format="15">
      <pivotArea type="data" outline="0" fieldPosition="0">
        <references count="3">
          <reference field="4294967294" count="1" selected="0">
            <x v="0"/>
          </reference>
          <reference field="0" count="1" selected="0">
            <x v="3"/>
          </reference>
          <reference field="1" count="1" selected="0">
            <x v="1"/>
          </reference>
        </references>
      </pivotArea>
    </chartFormat>
    <chartFormat chart="3" format="16">
      <pivotArea type="data" outline="0" fieldPosition="0">
        <references count="3">
          <reference field="4294967294" count="1" selected="0">
            <x v="0"/>
          </reference>
          <reference field="0" count="1" selected="0">
            <x v="3"/>
          </reference>
          <reference field="1" count="1" selected="0">
            <x v="2"/>
          </reference>
        </references>
      </pivotArea>
    </chartFormat>
    <chartFormat chart="3" format="17">
      <pivotArea type="data" outline="0" fieldPosition="0">
        <references count="3">
          <reference field="4294967294" count="1" selected="0">
            <x v="0"/>
          </reference>
          <reference field="0" count="1" selected="0">
            <x v="3"/>
          </reference>
          <reference field="1" count="1" selected="0">
            <x v="3"/>
          </reference>
        </references>
      </pivotArea>
    </chartFormat>
    <chartFormat chart="3" format="18">
      <pivotArea type="data" outline="0" fieldPosition="0">
        <references count="3">
          <reference field="4294967294" count="1" selected="0">
            <x v="0"/>
          </reference>
          <reference field="0" count="1" selected="0">
            <x v="3"/>
          </reference>
          <reference field="1" count="1" selected="0">
            <x v="4"/>
          </reference>
        </references>
      </pivotArea>
    </chartFormat>
    <chartFormat chart="3" format="19">
      <pivotArea type="data" outline="0" fieldPosition="0">
        <references count="3">
          <reference field="4294967294" count="1" selected="0">
            <x v="0"/>
          </reference>
          <reference field="0" count="1" selected="0">
            <x v="2"/>
          </reference>
          <reference field="1" count="1" selected="0">
            <x v="2"/>
          </reference>
        </references>
      </pivotArea>
    </chartFormat>
    <chartFormat chart="3" format="20">
      <pivotArea type="data" outline="0" fieldPosition="0">
        <references count="3">
          <reference field="4294967294" count="1" selected="0">
            <x v="0"/>
          </reference>
          <reference field="0" count="1" selected="0">
            <x v="2"/>
          </reference>
          <reference field="1" count="1" selected="0">
            <x v="1"/>
          </reference>
        </references>
      </pivotArea>
    </chartFormat>
    <chartFormat chart="3" format="21">
      <pivotArea type="data" outline="0" fieldPosition="0">
        <references count="3">
          <reference field="4294967294" count="1" selected="0">
            <x v="0"/>
          </reference>
          <reference field="0" count="1" selected="0">
            <x v="2"/>
          </reference>
          <reference field="1" count="1" selected="0">
            <x v="0"/>
          </reference>
        </references>
      </pivotArea>
    </chartFormat>
    <chartFormat chart="3" format="22">
      <pivotArea type="data" outline="0" fieldPosition="0">
        <references count="3">
          <reference field="4294967294" count="1" selected="0">
            <x v="0"/>
          </reference>
          <reference field="0" count="1" selected="0">
            <x v="0"/>
          </reference>
          <reference field="1" count="1" selected="0">
            <x v="1"/>
          </reference>
        </references>
      </pivotArea>
    </chartFormat>
    <chartFormat chart="3" format="23">
      <pivotArea type="data" outline="0" fieldPosition="0">
        <references count="3">
          <reference field="4294967294" count="1" selected="0">
            <x v="0"/>
          </reference>
          <reference field="0" count="1" selected="0">
            <x v="0"/>
          </reference>
          <reference field="1" count="1" selected="0">
            <x v="2"/>
          </reference>
        </references>
      </pivotArea>
    </chartFormat>
    <chartFormat chart="3" format="24">
      <pivotArea type="data" outline="0" fieldPosition="0">
        <references count="3">
          <reference field="4294967294" count="1" selected="0">
            <x v="0"/>
          </reference>
          <reference field="0" count="1" selected="0">
            <x v="0"/>
          </reference>
          <reference field="1" count="1" selected="0">
            <x v="3"/>
          </reference>
        </references>
      </pivotArea>
    </chartFormat>
    <chartFormat chart="3" format="25">
      <pivotArea type="data" outline="0" fieldPosition="0">
        <references count="3">
          <reference field="4294967294" count="1" selected="0">
            <x v="0"/>
          </reference>
          <reference field="0" count="1" selected="0">
            <x v="0"/>
          </reference>
          <reference field="1" count="1" selected="0">
            <x v="4"/>
          </reference>
        </references>
      </pivotArea>
    </chartFormat>
    <chartFormat chart="3" format="26">
      <pivotArea type="data" outline="0" fieldPosition="0">
        <references count="3">
          <reference field="4294967294" count="1" selected="0">
            <x v="0"/>
          </reference>
          <reference field="0" count="1" selected="0">
            <x v="1"/>
          </reference>
          <reference field="1" count="1" selected="0">
            <x v="0"/>
          </reference>
        </references>
      </pivotArea>
    </chartFormat>
    <chartFormat chart="3" format="27">
      <pivotArea type="data" outline="0" fieldPosition="0">
        <references count="3">
          <reference field="4294967294" count="1" selected="0">
            <x v="0"/>
          </reference>
          <reference field="0" count="1" selected="0">
            <x v="1"/>
          </reference>
          <reference field="1" count="1" selected="0">
            <x v="1"/>
          </reference>
        </references>
      </pivotArea>
    </chartFormat>
    <chartFormat chart="3" format="28">
      <pivotArea type="data" outline="0" fieldPosition="0">
        <references count="3">
          <reference field="4294967294" count="1" selected="0">
            <x v="0"/>
          </reference>
          <reference field="0" count="1" selected="0">
            <x v="1"/>
          </reference>
          <reference field="1" count="1" selected="0">
            <x v="2"/>
          </reference>
        </references>
      </pivotArea>
    </chartFormat>
    <chartFormat chart="3" format="29">
      <pivotArea type="data" outline="0" fieldPosition="0">
        <references count="3">
          <reference field="4294967294" count="1" selected="0">
            <x v="0"/>
          </reference>
          <reference field="0" count="1" selected="0">
            <x v="1"/>
          </reference>
          <reference field="1" count="1" selected="0">
            <x v="3"/>
          </reference>
        </references>
      </pivotArea>
    </chartFormat>
    <chartFormat chart="3" format="30">
      <pivotArea type="data" outline="0" fieldPosition="0">
        <references count="3">
          <reference field="4294967294" count="1" selected="0">
            <x v="0"/>
          </reference>
          <reference field="0" count="1" selected="0">
            <x v="1"/>
          </reference>
          <reference field="1" count="1" selected="0">
            <x v="4"/>
          </reference>
        </references>
      </pivotArea>
    </chartFormat>
    <chartFormat chart="3" format="31">
      <pivotArea type="data" outline="0" fieldPosition="0">
        <references count="3">
          <reference field="4294967294" count="1" selected="0">
            <x v="0"/>
          </reference>
          <reference field="0" count="1" selected="0">
            <x v="0"/>
          </reference>
          <reference field="1" count="1" selected="0">
            <x v="0"/>
          </reference>
        </references>
      </pivotArea>
    </chartFormat>
  </chartFormats>
  <pivotHierarchies count="24">
    <pivotHierarchy dragToData="1"/>
    <pivotHierarchy multipleItemSelectionAllowed="1" dragToData="1"/>
    <pivotHierarchy multipleItemSelectionAllowed="1" dragToData="1"/>
    <pivotHierarchy multipleItemSelectionAllowed="1" dragToData="1"/>
    <pivotHierarchy multipleItemSelectionAllowed="1" dragToData="1">
      <members count="1" level="1">
        <member name="[Range].[Sales_Channel].&amp;[Catalo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Sale_Amount"/>
    <pivotHierarchy dragToData="1" caption="Average of Quantity_Sold"/>
    <pivotHierarchy dragToData="1"/>
  </pivotHierarchies>
  <pivotTableStyleInfo name="PivotStyleLight16" showRowHeaders="1" showColHeaders="1" showRowStripes="0" showColStripes="0" showLastColumn="1"/>
  <rowHierarchiesUsage count="2">
    <rowHierarchyUsage hierarchyUsage="3"/>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1E3312-AFAD-49AB-9549-E4EAFE3BB1AB}" name="PivotTable1" cacheId="30" applyNumberFormats="0" applyBorderFormats="0" applyFontFormats="0" applyPatternFormats="0" applyAlignmentFormats="0" applyWidthHeightFormats="1" dataCaption="Values" tag="6fc1ff28-9794-4335-9f07-a669d90d9e6e" updatedVersion="8" minRefreshableVersion="3" useAutoFormatting="1" subtotalHiddenItems="1" itemPrintTitles="1" createdVersion="8" indent="0" outline="1" outlineData="1" multipleFieldFilters="0" chartFormat="9">
  <location ref="A4:C10" firstHeaderRow="0" firstDataRow="1" firstDataCol="1"/>
  <pivotFields count="5">
    <pivotField axis="axisRow" allDrilled="1" subtotalTop="0" showAll="0" defaultSubtotal="0" defaultAttributeDrillState="1">
      <items count="5">
        <item x="3"/>
        <item x="0"/>
        <item x="2"/>
        <item x="4"/>
        <item x="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Average of Discount_Rate" fld="1" subtotal="average" baseField="0" baseItem="0"/>
    <dataField name="Average of Profit_Margin" fld="2" subtotal="average" baseField="0" baseItem="0"/>
  </dataFields>
  <formats count="6">
    <format dxfId="21">
      <pivotArea type="all" dataOnly="0" outline="0"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outline="0" fieldPosition="0">
        <references count="1">
          <reference field="4294967294" count="2">
            <x v="0"/>
            <x v="1"/>
          </reference>
        </references>
      </pivotArea>
    </format>
    <format dxfId="16">
      <pivotArea outline="0" collapsedLevelsAreSubtotals="1" fieldPosition="0"/>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24">
    <pivotHierarchy dragToData="1"/>
    <pivotHierarchy multipleItemSelectionAllowed="1" dragToData="1"/>
    <pivotHierarchy multipleItemSelectionAllowed="1" dragToData="1"/>
    <pivotHierarchy multipleItemSelectionAllowed="1" dragToData="1"/>
    <pivotHierarchy multipleItemSelectionAllowed="1" dragToData="1">
      <members count="1" level="1">
        <member name="[Range].[Sales_Channel].&amp;[Catalo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Discount_Rate"/>
    <pivotHierarchy dragToData="1" caption="Average of Profit_Margi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F04A77-0EFA-445B-A194-C6648E1EE287}" name="PivotTable5" cacheId="39" applyNumberFormats="0" applyBorderFormats="0" applyFontFormats="0" applyPatternFormats="0" applyAlignmentFormats="0" applyWidthHeightFormats="1" dataCaption="Values" tag="14a6a700-5ece-4db2-86df-c099d47190de" updatedVersion="8" minRefreshableVersion="3" useAutoFormatting="1" subtotalHiddenItems="1" itemPrintTitles="1" createdVersion="8" indent="0" outline="1" outlineData="1" multipleFieldFilters="0">
  <location ref="T4:V9" firstHeaderRow="0"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2">
    <i>
      <x/>
    </i>
    <i i="1">
      <x v="1"/>
    </i>
  </colItems>
  <dataFields count="2">
    <dataField name="Sum of Sale_Amount" fld="1" baseField="0" baseItem="0"/>
    <dataField name="Sum of Quantity_Sold" fld="2" baseField="0" baseItem="0"/>
  </dataFields>
  <formats count="6">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fieldPosition="0">
        <references count="1">
          <reference field="0" count="0"/>
        </references>
      </pivotArea>
    </format>
    <format dxfId="23">
      <pivotArea dataOnly="0" labelOnly="1" grandRow="1" outline="0" fieldPosition="0"/>
    </format>
    <format dxfId="22">
      <pivotArea dataOnly="0" labelOnly="1" outline="0" fieldPosition="0">
        <references count="1">
          <reference field="4294967294" count="2">
            <x v="0"/>
            <x v="1"/>
          </reference>
        </references>
      </pivotArea>
    </format>
  </formats>
  <pivotHierarchies count="24">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L$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B2FF78E-4267-4AF1-ADF1-A547F7FC5748}" sourceName="[Range].[Region]">
  <pivotTables>
    <pivotTable tabId="7" name="PivotTable2"/>
    <pivotTable tabId="7" name="PivotTable1"/>
    <pivotTable tabId="7" name="PivotTable3"/>
    <pivotTable tabId="7" name="PivotTable4"/>
    <pivotTable tabId="7" name="PivotTable5"/>
    <pivotTable tabId="7" name="PivotTable6"/>
  </pivotTables>
  <data>
    <olap pivotCacheId="169109237">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CF04626-9E42-4AF4-AE72-9F0C0D6EDC60}" sourceName="[Range].[City]">
  <pivotTables>
    <pivotTable tabId="7" name="PivotTable2"/>
    <pivotTable tabId="7" name="PivotTable1"/>
    <pivotTable tabId="7" name="PivotTable3"/>
    <pivotTable tabId="7" name="PivotTable4"/>
    <pivotTable tabId="7" name="PivotTable5"/>
    <pivotTable tabId="7" name="PivotTable6"/>
  </pivotTables>
  <data>
    <olap pivotCacheId="169109237">
      <levels count="2">
        <level uniqueName="[Range].[City].[(All)]" sourceCaption="(All)" count="0"/>
        <level uniqueName="[Range].[City].[City]" sourceCaption="City" count="10">
          <ranges>
            <range startItem="0">
              <i n="[Range].[City].&amp;[Chicago]" c="Chicago"/>
              <i n="[Range].[City].&amp;[Dallas]" c="Dallas"/>
              <i n="[Range].[City].&amp;[Houston]" c="Houston"/>
              <i n="[Range].[City].&amp;[Los Angeles]" c="Los Angeles"/>
              <i n="[Range].[City].&amp;[New York]" c="New York"/>
              <i n="[Range].[City].&amp;[Philadelphia]" c="Philadelphia"/>
              <i n="[Range].[City].&amp;[Phoenix]" c="Phoenix"/>
              <i n="[Range].[City].&amp;[San Antonio]" c="San Antonio"/>
              <i n="[Range].[City].&amp;[San Diego]" c="San Diego"/>
              <i n="[Range].[City].&amp;[San Jose]" c="San Jose"/>
            </range>
          </ranges>
        </level>
      </levels>
      <selections count="1">
        <selection n="[Range].[Ci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125D01D3-C75E-4404-B57E-A494C3B13037}" sourceName="[Range].[Payment_Method]">
  <pivotTables>
    <pivotTable tabId="7" name="PivotTable2"/>
    <pivotTable tabId="7" name="PivotTable1"/>
    <pivotTable tabId="7" name="PivotTable3"/>
    <pivotTable tabId="7" name="PivotTable4"/>
    <pivotTable tabId="7" name="PivotTable5"/>
    <pivotTable tabId="7" name="PivotTable6"/>
  </pivotTables>
  <data>
    <olap pivotCacheId="169109237">
      <levels count="2">
        <level uniqueName="[Range].[Payment_Method].[(All)]" sourceCaption="(All)" count="0"/>
        <level uniqueName="[Range].[Payment_Method].[Payment_Method]" sourceCaption="Payment_Method" count="4">
          <ranges>
            <range startItem="0">
              <i n="[Range].[Payment_Method].&amp;[Bank Transfer]" c="Bank Transfer"/>
              <i n="[Range].[Payment_Method].&amp;[Cash]" c="Cash"/>
              <i n="[Range].[Payment_Method].&amp;[Credit Card]" c="Credit Card"/>
              <i n="[Range].[Payment_Method].&amp;[PayPal]" c="PayPal"/>
            </range>
          </ranges>
        </level>
      </levels>
      <selections count="1">
        <selection n="[Range].[Payment_Method].[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7F4DD8B9-BF33-482C-A8D7-1F0FBE38907C}" sourceName="[Range].[Order_Status]">
  <pivotTables>
    <pivotTable tabId="7" name="PivotTable2"/>
    <pivotTable tabId="7" name="PivotTable1"/>
    <pivotTable tabId="7" name="PivotTable3"/>
    <pivotTable tabId="7" name="PivotTable4"/>
    <pivotTable tabId="7" name="PivotTable5"/>
    <pivotTable tabId="7" name="PivotTable6"/>
  </pivotTables>
  <data>
    <olap pivotCacheId="169109237">
      <levels count="2">
        <level uniqueName="[Range].[Order_Status].[(All)]" sourceCaption="(All)" count="0"/>
        <level uniqueName="[Range].[Order_Status].[Order_Status]" sourceCaption="Order_Status" count="4">
          <ranges>
            <range startItem="0">
              <i n="[Range].[Order_Status].&amp;[Cancelled]" c="Cancelled"/>
              <i n="[Range].[Order_Status].&amp;[Completed]" c="Completed"/>
              <i n="[Range].[Order_Status].&amp;[Pending]" c="Pending"/>
              <i n="[Range].[Order_Status].&amp;[Returned]" c="Returned"/>
            </range>
          </ranges>
        </level>
      </levels>
      <selections count="1">
        <selection n="[Range].[Order_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ethod" xr10:uid="{CE5D375A-11E2-4886-A804-823654DB1C99}" cache="Slicer_Payment_Method" caption="Payment_Method" level="1" rowHeight="273050"/>
  <slicer name="Order_Status" xr10:uid="{77F40395-769B-4D59-925D-3D3F1E0B9399}" cache="Slicer_Order_Status" caption="Order_Status"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1316A9C-74B9-4BB0-A858-06433EDC7FF9}" cache="Slicer_Region" caption="Region" level="1" rowHeight="273050"/>
  <slicer name="City" xr10:uid="{7D2DA32F-0F97-493D-A45F-BB246E1D8CB2}" cache="Slicer_City" caption="City" level="1" rowHeight="273050"/>
  <slicer name="Payment_Method 1" xr10:uid="{F04CDD99-5E62-49A0-A946-EF2785AB40C3}" cache="Slicer_Payment_Method" caption="Payment_Method" columnCount="4" level="1" rowHeight="273050"/>
  <slicer name="Order_Status 1" xr10:uid="{17A0D807-2156-4EB7-B4C8-3697570A328E}" cache="Slicer_Order_Status" caption="Order_Status" columnCount="4" level="1" rowHeight="273050"/>
</slicer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8BC8C-3671-9D40-AF81-7769B6567CF6}">
  <dimension ref="A1:M101"/>
  <sheetViews>
    <sheetView zoomScale="80" zoomScaleNormal="80" workbookViewId="0">
      <selection activeCell="T31" sqref="T31"/>
    </sheetView>
  </sheetViews>
  <sheetFormatPr defaultColWidth="11" defaultRowHeight="15.75" x14ac:dyDescent="0.25"/>
  <cols>
    <col min="1" max="1" width="15.625" customWidth="1"/>
    <col min="2" max="2" width="16.875" customWidth="1"/>
    <col min="3" max="3" width="14.625" customWidth="1"/>
    <col min="4" max="4" width="6.5" customWidth="1"/>
    <col min="5" max="5" width="12.5" customWidth="1"/>
    <col min="6" max="7" width="11.375" customWidth="1"/>
    <col min="8" max="8" width="12" customWidth="1"/>
    <col min="9" max="9" width="12.375" customWidth="1"/>
    <col min="10" max="10" width="11.375" customWidth="1"/>
    <col min="11" max="11" width="12" customWidth="1"/>
    <col min="12" max="12" width="11.125" customWidth="1"/>
  </cols>
  <sheetData>
    <row r="1" spans="1:13" x14ac:dyDescent="0.25">
      <c r="A1" s="1" t="s">
        <v>0</v>
      </c>
      <c r="B1" s="1" t="s">
        <v>1</v>
      </c>
      <c r="C1" s="1" t="s">
        <v>2</v>
      </c>
      <c r="D1" s="1" t="s">
        <v>3</v>
      </c>
      <c r="E1" s="1" t="s">
        <v>4</v>
      </c>
      <c r="F1" s="1" t="s">
        <v>5</v>
      </c>
      <c r="G1" s="9" t="s">
        <v>6</v>
      </c>
      <c r="H1" s="9" t="s">
        <v>7</v>
      </c>
      <c r="I1" s="9" t="s">
        <v>8</v>
      </c>
      <c r="J1" s="9" t="s">
        <v>9</v>
      </c>
      <c r="K1" s="1" t="s">
        <v>10</v>
      </c>
      <c r="L1" s="1" t="s">
        <v>11</v>
      </c>
    </row>
    <row r="2" spans="1:13" x14ac:dyDescent="0.25">
      <c r="A2" t="s">
        <v>44</v>
      </c>
      <c r="B2" t="s">
        <v>13</v>
      </c>
      <c r="C2" t="s">
        <v>14</v>
      </c>
      <c r="D2" t="s">
        <v>22</v>
      </c>
      <c r="E2" t="s">
        <v>30</v>
      </c>
      <c r="F2" t="s">
        <v>35</v>
      </c>
      <c r="G2" s="3">
        <v>217.5392597329417</v>
      </c>
      <c r="H2" s="3">
        <v>65.038660653735491</v>
      </c>
      <c r="I2" s="5">
        <v>0.10409370696931609</v>
      </c>
      <c r="J2" s="5">
        <v>0.18698569456323161</v>
      </c>
      <c r="K2" s="2">
        <v>5.1350369628202177</v>
      </c>
      <c r="L2" s="2" t="s">
        <v>32</v>
      </c>
    </row>
    <row r="3" spans="1:13" x14ac:dyDescent="0.25">
      <c r="A3" t="s">
        <v>44</v>
      </c>
      <c r="B3" t="s">
        <v>13</v>
      </c>
      <c r="C3" t="s">
        <v>21</v>
      </c>
      <c r="D3" t="s">
        <v>22</v>
      </c>
      <c r="E3" t="s">
        <v>30</v>
      </c>
      <c r="F3" t="s">
        <v>31</v>
      </c>
      <c r="G3" s="3">
        <v>422.98354391673672</v>
      </c>
      <c r="H3" s="3">
        <v>56.928964189939506</v>
      </c>
      <c r="I3" s="5">
        <v>0.14589309735273881</v>
      </c>
      <c r="J3" s="5">
        <v>0.34753562169495522</v>
      </c>
      <c r="K3" s="2">
        <v>6.9102846410024767</v>
      </c>
      <c r="L3" s="2" t="s">
        <v>32</v>
      </c>
    </row>
    <row r="4" spans="1:13" x14ac:dyDescent="0.25">
      <c r="A4" t="s">
        <v>44</v>
      </c>
      <c r="B4" t="s">
        <v>20</v>
      </c>
      <c r="C4" t="s">
        <v>41</v>
      </c>
      <c r="D4" t="s">
        <v>22</v>
      </c>
      <c r="E4" t="s">
        <v>37</v>
      </c>
      <c r="F4" t="s">
        <v>35</v>
      </c>
      <c r="G4" s="3">
        <v>700.7065795784049</v>
      </c>
      <c r="H4" s="3">
        <v>87.93585965307895</v>
      </c>
      <c r="I4" s="5">
        <v>2.849293110196836E-2</v>
      </c>
      <c r="J4" s="5">
        <v>0.2012592400781795</v>
      </c>
      <c r="K4" s="2">
        <v>6.5150154200946098</v>
      </c>
      <c r="L4" s="2" t="s">
        <v>40</v>
      </c>
    </row>
    <row r="5" spans="1:13" x14ac:dyDescent="0.25">
      <c r="A5" t="s">
        <v>44</v>
      </c>
      <c r="B5" t="s">
        <v>13</v>
      </c>
      <c r="C5" t="s">
        <v>14</v>
      </c>
      <c r="D5" t="s">
        <v>22</v>
      </c>
      <c r="E5" t="s">
        <v>30</v>
      </c>
      <c r="F5" t="s">
        <v>35</v>
      </c>
      <c r="G5" s="3">
        <v>572.27912110168279</v>
      </c>
      <c r="H5" s="3">
        <v>32.209711407489543</v>
      </c>
      <c r="I5" s="5">
        <v>0.17206366445330579</v>
      </c>
      <c r="J5" s="5">
        <v>0.2024510174258943</v>
      </c>
      <c r="K5" s="2">
        <v>4.4498966056967122</v>
      </c>
      <c r="L5" s="2" t="s">
        <v>40</v>
      </c>
    </row>
    <row r="6" spans="1:13" x14ac:dyDescent="0.25">
      <c r="A6" t="s">
        <v>44</v>
      </c>
      <c r="B6" t="s">
        <v>26</v>
      </c>
      <c r="C6" t="s">
        <v>41</v>
      </c>
      <c r="D6" t="s">
        <v>22</v>
      </c>
      <c r="E6" t="s">
        <v>16</v>
      </c>
      <c r="F6" t="s">
        <v>31</v>
      </c>
      <c r="G6" s="3">
        <v>807.60731329319378</v>
      </c>
      <c r="H6" s="3">
        <v>33.683794300691233</v>
      </c>
      <c r="I6" s="5">
        <v>2.8206892441028031E-2</v>
      </c>
      <c r="J6" s="5">
        <v>0.24979982912454499</v>
      </c>
      <c r="K6" s="2">
        <v>1</v>
      </c>
      <c r="L6" s="2" t="s">
        <v>38</v>
      </c>
    </row>
    <row r="7" spans="1:13" x14ac:dyDescent="0.25">
      <c r="A7" t="s">
        <v>44</v>
      </c>
      <c r="B7" t="s">
        <v>20</v>
      </c>
      <c r="C7" t="s">
        <v>14</v>
      </c>
      <c r="D7" t="s">
        <v>22</v>
      </c>
      <c r="E7" t="s">
        <v>30</v>
      </c>
      <c r="F7" t="s">
        <v>17</v>
      </c>
      <c r="G7" s="3">
        <v>394.04795924659231</v>
      </c>
      <c r="H7" s="3">
        <v>33.0641256386319</v>
      </c>
      <c r="I7" s="5">
        <v>0.11404959338675159</v>
      </c>
      <c r="J7" s="5">
        <v>0.29504238381860498</v>
      </c>
      <c r="K7" s="2">
        <v>8.3742832701451295</v>
      </c>
      <c r="L7" s="2" t="s">
        <v>28</v>
      </c>
      <c r="M7" s="5">
        <f>AVERAGE(I2:I21)</f>
        <v>9.8868350761340443E-2</v>
      </c>
    </row>
    <row r="8" spans="1:13" x14ac:dyDescent="0.25">
      <c r="A8" t="s">
        <v>44</v>
      </c>
      <c r="B8" t="s">
        <v>20</v>
      </c>
      <c r="C8" t="s">
        <v>33</v>
      </c>
      <c r="D8" t="s">
        <v>27</v>
      </c>
      <c r="E8" t="s">
        <v>34</v>
      </c>
      <c r="F8" t="s">
        <v>17</v>
      </c>
      <c r="G8" s="3">
        <v>108.06597522404491</v>
      </c>
      <c r="H8" s="3">
        <v>43.558769675886488</v>
      </c>
      <c r="I8" s="5">
        <v>0.1093227157384714</v>
      </c>
      <c r="J8" s="5">
        <v>0.16786141583470071</v>
      </c>
      <c r="K8" s="2">
        <v>2.2397970835702168</v>
      </c>
      <c r="L8" s="2" t="s">
        <v>18</v>
      </c>
    </row>
    <row r="9" spans="1:13" x14ac:dyDescent="0.25">
      <c r="A9" t="s">
        <v>44</v>
      </c>
      <c r="B9" t="s">
        <v>26</v>
      </c>
      <c r="C9" t="s">
        <v>21</v>
      </c>
      <c r="D9" t="s">
        <v>27</v>
      </c>
      <c r="E9" t="s">
        <v>34</v>
      </c>
      <c r="F9" t="s">
        <v>31</v>
      </c>
      <c r="G9" s="3">
        <v>564.81679387895906</v>
      </c>
      <c r="H9" s="3">
        <v>55.009857006917528</v>
      </c>
      <c r="I9" s="5">
        <v>3.6955802283247741E-2</v>
      </c>
      <c r="J9" s="5">
        <v>0.23109075655980049</v>
      </c>
      <c r="K9" s="2">
        <v>4.8746418054536562</v>
      </c>
      <c r="L9" s="2" t="s">
        <v>18</v>
      </c>
    </row>
    <row r="10" spans="1:13" x14ac:dyDescent="0.25">
      <c r="A10" t="s">
        <v>44</v>
      </c>
      <c r="B10" t="s">
        <v>20</v>
      </c>
      <c r="C10" t="s">
        <v>14</v>
      </c>
      <c r="D10" t="s">
        <v>27</v>
      </c>
      <c r="E10" t="s">
        <v>37</v>
      </c>
      <c r="F10" t="s">
        <v>35</v>
      </c>
      <c r="G10" s="3">
        <v>332.15649535547232</v>
      </c>
      <c r="H10" s="3">
        <v>87.315490222895136</v>
      </c>
      <c r="I10" s="5">
        <v>0.16334555745933119</v>
      </c>
      <c r="J10" s="5">
        <v>0.198148686400761</v>
      </c>
      <c r="K10" s="2">
        <v>4.7859392800908847</v>
      </c>
      <c r="L10" s="2" t="s">
        <v>32</v>
      </c>
    </row>
    <row r="11" spans="1:13" x14ac:dyDescent="0.25">
      <c r="A11" t="s">
        <v>44</v>
      </c>
      <c r="B11" t="s">
        <v>26</v>
      </c>
      <c r="C11" t="s">
        <v>33</v>
      </c>
      <c r="D11" t="s">
        <v>27</v>
      </c>
      <c r="E11" t="s">
        <v>37</v>
      </c>
      <c r="F11" t="s">
        <v>23</v>
      </c>
      <c r="G11" s="3">
        <v>440.19852990682648</v>
      </c>
      <c r="H11" s="3">
        <v>79.070681543146335</v>
      </c>
      <c r="I11" s="5">
        <v>6.9989156142060277E-2</v>
      </c>
      <c r="J11" s="5">
        <v>0.21833420057383521</v>
      </c>
      <c r="K11" s="2">
        <v>5.622500309087072</v>
      </c>
      <c r="L11" s="2" t="s">
        <v>36</v>
      </c>
    </row>
    <row r="12" spans="1:13" x14ac:dyDescent="0.25">
      <c r="A12" t="s">
        <v>44</v>
      </c>
      <c r="B12" t="s">
        <v>13</v>
      </c>
      <c r="C12" t="s">
        <v>41</v>
      </c>
      <c r="D12" t="s">
        <v>27</v>
      </c>
      <c r="E12" t="s">
        <v>34</v>
      </c>
      <c r="F12" t="s">
        <v>31</v>
      </c>
      <c r="G12" s="3">
        <v>552.21105443597787</v>
      </c>
      <c r="H12" s="3">
        <v>53.074502118910559</v>
      </c>
      <c r="I12" s="5">
        <v>0.1153649760438305</v>
      </c>
      <c r="J12" s="5">
        <v>0.33538723741654131</v>
      </c>
      <c r="K12" s="2">
        <v>4.6193226438327839</v>
      </c>
      <c r="L12" s="2" t="s">
        <v>43</v>
      </c>
    </row>
    <row r="13" spans="1:13" x14ac:dyDescent="0.25">
      <c r="A13" t="s">
        <v>44</v>
      </c>
      <c r="B13" t="s">
        <v>26</v>
      </c>
      <c r="C13" t="s">
        <v>33</v>
      </c>
      <c r="D13" t="s">
        <v>15</v>
      </c>
      <c r="E13" t="s">
        <v>37</v>
      </c>
      <c r="F13" t="s">
        <v>23</v>
      </c>
      <c r="G13" s="3">
        <v>297.43377593311533</v>
      </c>
      <c r="H13" s="3">
        <v>49.305764605895128</v>
      </c>
      <c r="I13" s="5">
        <v>6.135873927312141E-2</v>
      </c>
      <c r="J13" s="5">
        <v>0.26819529712949641</v>
      </c>
      <c r="K13" s="2">
        <v>8.1023039510450463</v>
      </c>
      <c r="L13" s="2" t="s">
        <v>38</v>
      </c>
    </row>
    <row r="14" spans="1:13" x14ac:dyDescent="0.25">
      <c r="A14" t="s">
        <v>44</v>
      </c>
      <c r="B14" t="s">
        <v>26</v>
      </c>
      <c r="C14" t="s">
        <v>14</v>
      </c>
      <c r="D14" t="s">
        <v>15</v>
      </c>
      <c r="E14" t="s">
        <v>34</v>
      </c>
      <c r="F14" t="s">
        <v>35</v>
      </c>
      <c r="G14" s="3">
        <v>454.84473990269288</v>
      </c>
      <c r="H14" s="3">
        <v>31.81225090410522</v>
      </c>
      <c r="I14" s="5">
        <v>6.6367403704125916E-3</v>
      </c>
      <c r="J14" s="5">
        <v>0.25951570254369138</v>
      </c>
      <c r="K14" s="2">
        <v>8.5106816848864089</v>
      </c>
      <c r="L14" s="2" t="s">
        <v>36</v>
      </c>
    </row>
    <row r="15" spans="1:13" x14ac:dyDescent="0.25">
      <c r="A15" t="s">
        <v>44</v>
      </c>
      <c r="B15" t="s">
        <v>13</v>
      </c>
      <c r="C15" t="s">
        <v>33</v>
      </c>
      <c r="D15" t="s">
        <v>15</v>
      </c>
      <c r="E15" t="s">
        <v>16</v>
      </c>
      <c r="F15" t="s">
        <v>17</v>
      </c>
      <c r="G15" s="3">
        <v>539.37224717382469</v>
      </c>
      <c r="H15" s="3">
        <v>25.3827136713209</v>
      </c>
      <c r="I15" s="5">
        <v>0.14262166673981119</v>
      </c>
      <c r="J15" s="5">
        <v>0.14362754471960251</v>
      </c>
      <c r="K15" s="2">
        <v>4.8889046022067628</v>
      </c>
      <c r="L15" s="2" t="s">
        <v>36</v>
      </c>
    </row>
    <row r="16" spans="1:13" x14ac:dyDescent="0.25">
      <c r="A16" t="s">
        <v>44</v>
      </c>
      <c r="B16" t="s">
        <v>26</v>
      </c>
      <c r="C16" t="s">
        <v>21</v>
      </c>
      <c r="D16" t="s">
        <v>15</v>
      </c>
      <c r="E16" t="s">
        <v>37</v>
      </c>
      <c r="F16" t="s">
        <v>35</v>
      </c>
      <c r="G16" s="3">
        <v>439.77926088214218</v>
      </c>
      <c r="H16" s="3">
        <v>53.692677170646093</v>
      </c>
      <c r="I16" s="5">
        <v>0.1432877597085061</v>
      </c>
      <c r="J16" s="5">
        <v>0.149305682462887</v>
      </c>
      <c r="K16" s="2">
        <v>4.8217599209744231</v>
      </c>
      <c r="L16" s="2" t="s">
        <v>43</v>
      </c>
    </row>
    <row r="17" spans="1:12" x14ac:dyDescent="0.25">
      <c r="A17" t="s">
        <v>44</v>
      </c>
      <c r="B17" t="s">
        <v>20</v>
      </c>
      <c r="C17" t="s">
        <v>14</v>
      </c>
      <c r="D17" t="s">
        <v>15</v>
      </c>
      <c r="E17" t="s">
        <v>34</v>
      </c>
      <c r="F17" t="s">
        <v>23</v>
      </c>
      <c r="G17" s="3">
        <v>204.29560192651451</v>
      </c>
      <c r="H17" s="3">
        <v>55.197655884968469</v>
      </c>
      <c r="I17" s="5">
        <v>3.998517964721119E-2</v>
      </c>
      <c r="J17" s="5">
        <v>0.1528961694381677</v>
      </c>
      <c r="K17" s="2">
        <v>2.391060998990294</v>
      </c>
      <c r="L17" s="2" t="s">
        <v>45</v>
      </c>
    </row>
    <row r="18" spans="1:12" x14ac:dyDescent="0.25">
      <c r="A18" t="s">
        <v>44</v>
      </c>
      <c r="B18" t="s">
        <v>13</v>
      </c>
      <c r="C18" t="s">
        <v>33</v>
      </c>
      <c r="D18" t="s">
        <v>15</v>
      </c>
      <c r="E18" t="s">
        <v>37</v>
      </c>
      <c r="F18" t="s">
        <v>35</v>
      </c>
      <c r="G18" s="3">
        <v>370.97604907897522</v>
      </c>
      <c r="H18" s="3">
        <v>34.925276712850213</v>
      </c>
      <c r="I18" s="5">
        <v>0.10653702886430461</v>
      </c>
      <c r="J18" s="5">
        <v>0.1226990216144534</v>
      </c>
      <c r="K18" s="2">
        <v>3.8483635187106402</v>
      </c>
      <c r="L18" s="2" t="s">
        <v>38</v>
      </c>
    </row>
    <row r="19" spans="1:12" x14ac:dyDescent="0.25">
      <c r="A19" t="s">
        <v>44</v>
      </c>
      <c r="B19" t="s">
        <v>13</v>
      </c>
      <c r="C19" t="s">
        <v>21</v>
      </c>
      <c r="D19" t="s">
        <v>39</v>
      </c>
      <c r="E19" t="s">
        <v>30</v>
      </c>
      <c r="F19" t="s">
        <v>35</v>
      </c>
      <c r="G19" s="3">
        <v>441.661250041345</v>
      </c>
      <c r="H19" s="3">
        <v>39.930486917676014</v>
      </c>
      <c r="I19" s="5">
        <v>0.13397988744673381</v>
      </c>
      <c r="J19" s="5">
        <v>0.26283455092642799</v>
      </c>
      <c r="K19" s="2">
        <v>1.482521027153771</v>
      </c>
      <c r="L19" s="2" t="s">
        <v>32</v>
      </c>
    </row>
    <row r="20" spans="1:12" x14ac:dyDescent="0.25">
      <c r="A20" t="s">
        <v>44</v>
      </c>
      <c r="B20" t="s">
        <v>13</v>
      </c>
      <c r="C20" t="s">
        <v>41</v>
      </c>
      <c r="D20" t="s">
        <v>39</v>
      </c>
      <c r="E20" t="s">
        <v>30</v>
      </c>
      <c r="F20" t="s">
        <v>23</v>
      </c>
      <c r="G20" s="3">
        <v>462.86820466723663</v>
      </c>
      <c r="H20" s="3">
        <v>65.741692074849041</v>
      </c>
      <c r="I20" s="5">
        <v>9.7023732196910004E-2</v>
      </c>
      <c r="J20" s="5">
        <v>0.35327389130025783</v>
      </c>
      <c r="K20" s="2">
        <v>5.0705271039434576</v>
      </c>
      <c r="L20" s="2" t="s">
        <v>42</v>
      </c>
    </row>
    <row r="21" spans="1:12" x14ac:dyDescent="0.25">
      <c r="A21" t="s">
        <v>44</v>
      </c>
      <c r="B21" t="s">
        <v>26</v>
      </c>
      <c r="C21" t="s">
        <v>41</v>
      </c>
      <c r="D21" t="s">
        <v>39</v>
      </c>
      <c r="E21" t="s">
        <v>30</v>
      </c>
      <c r="F21" t="s">
        <v>35</v>
      </c>
      <c r="G21" s="3">
        <v>492.83479217800971</v>
      </c>
      <c r="H21" s="3">
        <v>48.457965811717919</v>
      </c>
      <c r="I21" s="5">
        <v>0.158158187607748</v>
      </c>
      <c r="J21" s="5">
        <v>0.34511436077950419</v>
      </c>
      <c r="K21" s="2">
        <v>1.969617875602895</v>
      </c>
      <c r="L21" s="2" t="s">
        <v>28</v>
      </c>
    </row>
    <row r="22" spans="1:12" x14ac:dyDescent="0.25">
      <c r="A22" t="s">
        <v>19</v>
      </c>
      <c r="B22" t="s">
        <v>20</v>
      </c>
      <c r="C22" t="s">
        <v>21</v>
      </c>
      <c r="D22" t="s">
        <v>22</v>
      </c>
      <c r="E22" t="s">
        <v>16</v>
      </c>
      <c r="F22" t="s">
        <v>23</v>
      </c>
      <c r="G22" s="3">
        <v>472.34713976576307</v>
      </c>
      <c r="H22" s="3">
        <v>41.58709354469282</v>
      </c>
      <c r="I22" s="5">
        <v>0.12803922631841169</v>
      </c>
      <c r="J22" s="5">
        <v>0.14398189598030309</v>
      </c>
      <c r="K22" s="2">
        <v>3.8012499540924538</v>
      </c>
      <c r="L22" s="2" t="s">
        <v>24</v>
      </c>
    </row>
    <row r="23" spans="1:12" x14ac:dyDescent="0.25">
      <c r="A23" t="s">
        <v>19</v>
      </c>
      <c r="B23" t="s">
        <v>26</v>
      </c>
      <c r="C23" t="s">
        <v>33</v>
      </c>
      <c r="D23" t="s">
        <v>22</v>
      </c>
      <c r="E23" t="s">
        <v>34</v>
      </c>
      <c r="F23" t="s">
        <v>17</v>
      </c>
      <c r="G23" s="3">
        <v>566.25268628071285</v>
      </c>
      <c r="H23" s="3">
        <v>26.173930055947029</v>
      </c>
      <c r="I23" s="5">
        <v>0.1221909714073114</v>
      </c>
      <c r="J23" s="5">
        <v>0.23227185603380901</v>
      </c>
      <c r="K23" s="2">
        <v>3.8927013893056359</v>
      </c>
      <c r="L23" s="2" t="s">
        <v>28</v>
      </c>
    </row>
    <row r="24" spans="1:12" x14ac:dyDescent="0.25">
      <c r="A24" t="s">
        <v>19</v>
      </c>
      <c r="B24" t="s">
        <v>13</v>
      </c>
      <c r="C24" t="s">
        <v>21</v>
      </c>
      <c r="D24" t="s">
        <v>22</v>
      </c>
      <c r="E24" t="s">
        <v>37</v>
      </c>
      <c r="F24" t="s">
        <v>23</v>
      </c>
      <c r="G24" s="3">
        <v>662.50516447883956</v>
      </c>
      <c r="H24" s="3">
        <v>69.267522584886436</v>
      </c>
      <c r="I24" s="5">
        <v>8.7371592430341982E-2</v>
      </c>
      <c r="J24" s="5">
        <v>0.26901439917111131</v>
      </c>
      <c r="K24" s="2">
        <v>4.7753439006183402</v>
      </c>
      <c r="L24" s="2" t="s">
        <v>28</v>
      </c>
    </row>
    <row r="25" spans="1:12" x14ac:dyDescent="0.25">
      <c r="A25" t="s">
        <v>19</v>
      </c>
      <c r="B25" t="s">
        <v>26</v>
      </c>
      <c r="C25" t="s">
        <v>21</v>
      </c>
      <c r="D25" t="s">
        <v>27</v>
      </c>
      <c r="E25" t="s">
        <v>37</v>
      </c>
      <c r="F25" t="s">
        <v>23</v>
      </c>
      <c r="G25" s="3">
        <v>387.54249415180539</v>
      </c>
      <c r="H25" s="3">
        <v>56.030946846672251</v>
      </c>
      <c r="I25" s="5">
        <v>0.1379484610246634</v>
      </c>
      <c r="J25" s="5">
        <v>0.20210038416327589</v>
      </c>
      <c r="K25" s="2">
        <v>3.5030269268868932</v>
      </c>
      <c r="L25" s="2" t="s">
        <v>42</v>
      </c>
    </row>
    <row r="26" spans="1:12" x14ac:dyDescent="0.25">
      <c r="A26" t="s">
        <v>19</v>
      </c>
      <c r="B26" t="s">
        <v>26</v>
      </c>
      <c r="C26" t="s">
        <v>33</v>
      </c>
      <c r="D26" t="s">
        <v>27</v>
      </c>
      <c r="E26" t="s">
        <v>34</v>
      </c>
      <c r="F26" t="s">
        <v>35</v>
      </c>
      <c r="G26" s="3">
        <v>664.50898242063784</v>
      </c>
      <c r="H26" s="3">
        <v>31.611515315323938</v>
      </c>
      <c r="I26" s="5">
        <v>0.2071972044662663</v>
      </c>
      <c r="J26" s="5">
        <v>0.29751197334177509</v>
      </c>
      <c r="K26" s="2">
        <v>8.0047141041920558</v>
      </c>
      <c r="L26" s="2" t="s">
        <v>38</v>
      </c>
    </row>
    <row r="27" spans="1:12" x14ac:dyDescent="0.25">
      <c r="A27" t="s">
        <v>19</v>
      </c>
      <c r="B27" t="s">
        <v>13</v>
      </c>
      <c r="C27" t="s">
        <v>21</v>
      </c>
      <c r="D27" t="s">
        <v>27</v>
      </c>
      <c r="E27" t="s">
        <v>30</v>
      </c>
      <c r="F27" t="s">
        <v>31</v>
      </c>
      <c r="G27" s="3">
        <v>364.61559993880832</v>
      </c>
      <c r="H27" s="3">
        <v>36.399505568430193</v>
      </c>
      <c r="I27" s="5">
        <v>0.20610780985063171</v>
      </c>
      <c r="J27" s="5">
        <v>0.28576596232020202</v>
      </c>
      <c r="K27" s="2">
        <v>3.028547907328913</v>
      </c>
      <c r="L27" s="2" t="s">
        <v>36</v>
      </c>
    </row>
    <row r="28" spans="1:12" x14ac:dyDescent="0.25">
      <c r="A28" t="s">
        <v>19</v>
      </c>
      <c r="B28" t="s">
        <v>26</v>
      </c>
      <c r="C28" t="s">
        <v>41</v>
      </c>
      <c r="D28" t="s">
        <v>27</v>
      </c>
      <c r="E28" t="s">
        <v>34</v>
      </c>
      <c r="F28" t="s">
        <v>23</v>
      </c>
      <c r="G28" s="3">
        <v>664.38050087504473</v>
      </c>
      <c r="H28" s="3">
        <v>66.543664980720479</v>
      </c>
      <c r="I28" s="5">
        <v>0.1231051737131635</v>
      </c>
      <c r="J28" s="5">
        <v>0.1232652437111951</v>
      </c>
      <c r="K28" s="2">
        <v>4.5019279208872431</v>
      </c>
      <c r="L28" s="2" t="s">
        <v>45</v>
      </c>
    </row>
    <row r="29" spans="1:12" x14ac:dyDescent="0.25">
      <c r="A29" t="s">
        <v>19</v>
      </c>
      <c r="B29" t="s">
        <v>20</v>
      </c>
      <c r="C29" t="s">
        <v>41</v>
      </c>
      <c r="D29" t="s">
        <v>27</v>
      </c>
      <c r="E29" t="s">
        <v>34</v>
      </c>
      <c r="F29" t="s">
        <v>17</v>
      </c>
      <c r="G29" s="3">
        <v>559.22405541291516</v>
      </c>
      <c r="H29" s="3">
        <v>32.322851275977342</v>
      </c>
      <c r="I29" s="5">
        <v>0.14497999377166251</v>
      </c>
      <c r="J29" s="5">
        <v>2.868654709091226E-2</v>
      </c>
      <c r="K29" s="2">
        <v>2.9255076913470872</v>
      </c>
      <c r="L29" s="2" t="s">
        <v>18</v>
      </c>
    </row>
    <row r="30" spans="1:12" x14ac:dyDescent="0.25">
      <c r="A30" t="s">
        <v>19</v>
      </c>
      <c r="B30" t="s">
        <v>13</v>
      </c>
      <c r="C30" t="s">
        <v>14</v>
      </c>
      <c r="D30" t="s">
        <v>15</v>
      </c>
      <c r="E30" t="s">
        <v>16</v>
      </c>
      <c r="F30" t="s">
        <v>17</v>
      </c>
      <c r="G30" s="3">
        <v>379.65867755412057</v>
      </c>
      <c r="H30" s="3">
        <v>18.986731378677352</v>
      </c>
      <c r="I30" s="5">
        <v>6.3481668414143169E-2</v>
      </c>
      <c r="J30" s="5">
        <v>0.19877532271530851</v>
      </c>
      <c r="K30" s="2">
        <v>2.6334829746684498</v>
      </c>
      <c r="L30" s="2" t="s">
        <v>40</v>
      </c>
    </row>
    <row r="31" spans="1:12" x14ac:dyDescent="0.25">
      <c r="A31" t="s">
        <v>19</v>
      </c>
      <c r="B31" t="s">
        <v>13</v>
      </c>
      <c r="C31" t="s">
        <v>21</v>
      </c>
      <c r="D31" t="s">
        <v>15</v>
      </c>
      <c r="E31" t="s">
        <v>34</v>
      </c>
      <c r="F31" t="s">
        <v>35</v>
      </c>
      <c r="G31" s="3">
        <v>407.87224580804252</v>
      </c>
      <c r="H31" s="3">
        <v>25.260985782438361</v>
      </c>
      <c r="I31" s="5">
        <v>7.62527344419522E-2</v>
      </c>
      <c r="J31" s="5">
        <v>5.5191565850267597E-2</v>
      </c>
      <c r="K31" s="2">
        <v>5.7331964921936969</v>
      </c>
      <c r="L31" s="2" t="s">
        <v>40</v>
      </c>
    </row>
    <row r="32" spans="1:12" x14ac:dyDescent="0.25">
      <c r="A32" t="s">
        <v>19</v>
      </c>
      <c r="B32" t="s">
        <v>13</v>
      </c>
      <c r="C32" t="s">
        <v>33</v>
      </c>
      <c r="D32" t="s">
        <v>15</v>
      </c>
      <c r="E32" t="s">
        <v>30</v>
      </c>
      <c r="F32" t="s">
        <v>23</v>
      </c>
      <c r="G32" s="3">
        <v>518.35215530710047</v>
      </c>
      <c r="H32" s="3">
        <v>44.706863335240882</v>
      </c>
      <c r="I32" s="5">
        <v>0.10349010424950091</v>
      </c>
      <c r="J32" s="5">
        <v>0.41898029332176723</v>
      </c>
      <c r="K32" s="2">
        <v>11.157761616910481</v>
      </c>
      <c r="L32" s="2" t="s">
        <v>24</v>
      </c>
    </row>
    <row r="33" spans="1:12" x14ac:dyDescent="0.25">
      <c r="A33" t="s">
        <v>19</v>
      </c>
      <c r="B33" t="s">
        <v>26</v>
      </c>
      <c r="C33" t="s">
        <v>14</v>
      </c>
      <c r="D33" t="s">
        <v>15</v>
      </c>
      <c r="E33" t="s">
        <v>37</v>
      </c>
      <c r="F33" t="s">
        <v>31</v>
      </c>
      <c r="G33" s="3">
        <v>565.75022193193695</v>
      </c>
      <c r="H33" s="3">
        <v>48.543421746862542</v>
      </c>
      <c r="I33" s="5">
        <v>0.1294158603242288</v>
      </c>
      <c r="J33" s="5">
        <v>0.38761708392158872</v>
      </c>
      <c r="K33" s="2">
        <v>2.8369039927712101</v>
      </c>
      <c r="L33" s="2" t="s">
        <v>32</v>
      </c>
    </row>
    <row r="34" spans="1:12" x14ac:dyDescent="0.25">
      <c r="A34" t="s">
        <v>19</v>
      </c>
      <c r="B34" t="s">
        <v>26</v>
      </c>
      <c r="C34" t="s">
        <v>33</v>
      </c>
      <c r="D34" t="s">
        <v>39</v>
      </c>
      <c r="E34" t="s">
        <v>30</v>
      </c>
      <c r="F34" t="s">
        <v>17</v>
      </c>
      <c r="G34" s="3">
        <v>608.51200871719288</v>
      </c>
      <c r="H34" s="3">
        <v>48.511081684676647</v>
      </c>
      <c r="I34" s="5">
        <v>0.29263657453273612</v>
      </c>
      <c r="J34" s="5">
        <v>0.17978073475661061</v>
      </c>
      <c r="K34" s="2">
        <v>6.0288776681174978</v>
      </c>
      <c r="L34" s="2" t="s">
        <v>36</v>
      </c>
    </row>
    <row r="35" spans="1:12" x14ac:dyDescent="0.25">
      <c r="A35" t="s">
        <v>19</v>
      </c>
      <c r="B35" t="s">
        <v>13</v>
      </c>
      <c r="C35" t="s">
        <v>21</v>
      </c>
      <c r="D35" t="s">
        <v>39</v>
      </c>
      <c r="E35" t="s">
        <v>30</v>
      </c>
      <c r="F35" t="s">
        <v>17</v>
      </c>
      <c r="G35" s="3">
        <v>870.45563690178756</v>
      </c>
      <c r="H35" s="3">
        <v>51.371259496120537</v>
      </c>
      <c r="I35" s="5">
        <v>0.11082292947909871</v>
      </c>
      <c r="J35" s="5">
        <v>0.1102745628514168</v>
      </c>
      <c r="K35" s="2">
        <v>1</v>
      </c>
      <c r="L35" s="2" t="s">
        <v>28</v>
      </c>
    </row>
    <row r="36" spans="1:12" x14ac:dyDescent="0.25">
      <c r="A36" t="s">
        <v>19</v>
      </c>
      <c r="B36" t="s">
        <v>13</v>
      </c>
      <c r="C36" t="s">
        <v>41</v>
      </c>
      <c r="D36" t="s">
        <v>39</v>
      </c>
      <c r="E36" t="s">
        <v>37</v>
      </c>
      <c r="F36" t="s">
        <v>17</v>
      </c>
      <c r="G36" s="3">
        <v>695.10902542447184</v>
      </c>
      <c r="H36" s="3">
        <v>63.131072172676603</v>
      </c>
      <c r="I36" s="5">
        <v>0.13873170267146681</v>
      </c>
      <c r="J36" s="5">
        <v>0.1172769056447677</v>
      </c>
      <c r="K36" s="2">
        <v>2.6042442148223031</v>
      </c>
      <c r="L36" s="2" t="s">
        <v>18</v>
      </c>
    </row>
    <row r="37" spans="1:12" x14ac:dyDescent="0.25">
      <c r="A37" t="s">
        <v>19</v>
      </c>
      <c r="B37" t="s">
        <v>26</v>
      </c>
      <c r="C37" t="s">
        <v>14</v>
      </c>
      <c r="D37" t="s">
        <v>39</v>
      </c>
      <c r="E37" t="s">
        <v>16</v>
      </c>
      <c r="F37" t="s">
        <v>23</v>
      </c>
      <c r="G37" s="3">
        <v>278.73300519879427</v>
      </c>
      <c r="H37" s="3">
        <v>73.171911580148077</v>
      </c>
      <c r="I37" s="5">
        <v>0</v>
      </c>
      <c r="J37" s="5">
        <v>0.18912398515431431</v>
      </c>
      <c r="K37" s="2">
        <v>3.600548984014829</v>
      </c>
      <c r="L37" s="2" t="s">
        <v>18</v>
      </c>
    </row>
    <row r="38" spans="1:12" x14ac:dyDescent="0.25">
      <c r="A38" t="s">
        <v>12</v>
      </c>
      <c r="B38" t="s">
        <v>20</v>
      </c>
      <c r="C38" t="s">
        <v>21</v>
      </c>
      <c r="D38" t="s">
        <v>22</v>
      </c>
      <c r="E38" t="s">
        <v>16</v>
      </c>
      <c r="F38" t="s">
        <v>35</v>
      </c>
      <c r="G38" s="3">
        <v>391.12345509496339</v>
      </c>
      <c r="H38" s="3">
        <v>61.73714187600541</v>
      </c>
      <c r="I38" s="5">
        <v>7.6403406710528338E-2</v>
      </c>
      <c r="J38" s="5">
        <v>9.9398261850029812E-2</v>
      </c>
      <c r="K38" s="2">
        <v>6.2907518991702949</v>
      </c>
      <c r="L38" s="2" t="s">
        <v>32</v>
      </c>
    </row>
    <row r="39" spans="1:12" x14ac:dyDescent="0.25">
      <c r="A39" t="s">
        <v>12</v>
      </c>
      <c r="B39" t="s">
        <v>26</v>
      </c>
      <c r="C39" t="s">
        <v>41</v>
      </c>
      <c r="D39" t="s">
        <v>22</v>
      </c>
      <c r="E39" t="s">
        <v>16</v>
      </c>
      <c r="F39" t="s">
        <v>35</v>
      </c>
      <c r="G39" s="3">
        <v>379.87226201623901</v>
      </c>
      <c r="H39" s="3">
        <v>51.993027301752832</v>
      </c>
      <c r="I39" s="5">
        <v>6.4234814537001583E-2</v>
      </c>
      <c r="J39" s="5">
        <v>0.26241198170521551</v>
      </c>
      <c r="K39" s="2">
        <v>7.1168489736991756</v>
      </c>
      <c r="L39" s="2" t="s">
        <v>32</v>
      </c>
    </row>
    <row r="40" spans="1:12" x14ac:dyDescent="0.25">
      <c r="A40" t="s">
        <v>12</v>
      </c>
      <c r="B40" t="s">
        <v>20</v>
      </c>
      <c r="C40" t="s">
        <v>14</v>
      </c>
      <c r="D40" t="s">
        <v>22</v>
      </c>
      <c r="E40" t="s">
        <v>34</v>
      </c>
      <c r="F40" t="s">
        <v>31</v>
      </c>
      <c r="G40" s="3">
        <v>255.83127000579549</v>
      </c>
      <c r="H40" s="3">
        <v>80.99868810035079</v>
      </c>
      <c r="I40" s="5">
        <v>0.1316959511159006</v>
      </c>
      <c r="J40" s="5">
        <v>0.18529426184978609</v>
      </c>
      <c r="K40" s="2">
        <v>5.1481895608395503</v>
      </c>
      <c r="L40" s="2" t="s">
        <v>24</v>
      </c>
    </row>
    <row r="41" spans="1:12" x14ac:dyDescent="0.25">
      <c r="A41" t="s">
        <v>12</v>
      </c>
      <c r="B41" t="s">
        <v>13</v>
      </c>
      <c r="C41" t="s">
        <v>33</v>
      </c>
      <c r="D41" t="s">
        <v>22</v>
      </c>
      <c r="E41" t="s">
        <v>16</v>
      </c>
      <c r="F41" t="s">
        <v>17</v>
      </c>
      <c r="G41" s="3">
        <v>771.24800571416461</v>
      </c>
      <c r="H41" s="3">
        <v>58.255618538729962</v>
      </c>
      <c r="I41" s="5">
        <v>3.7610840901757529E-2</v>
      </c>
      <c r="J41" s="5">
        <v>0.1598779528114164</v>
      </c>
      <c r="K41" s="2">
        <v>4.5580608009335544</v>
      </c>
      <c r="L41" s="2" t="s">
        <v>24</v>
      </c>
    </row>
    <row r="42" spans="1:12" x14ac:dyDescent="0.25">
      <c r="A42" t="s">
        <v>12</v>
      </c>
      <c r="B42" t="s">
        <v>13</v>
      </c>
      <c r="C42" t="s">
        <v>14</v>
      </c>
      <c r="D42" t="s">
        <v>22</v>
      </c>
      <c r="E42" t="s">
        <v>30</v>
      </c>
      <c r="F42" t="s">
        <v>17</v>
      </c>
      <c r="G42" s="3">
        <v>795.57880894830328</v>
      </c>
      <c r="H42" s="3">
        <v>28.582150038777751</v>
      </c>
      <c r="I42" s="5">
        <v>0.1793008408072676</v>
      </c>
      <c r="J42" s="5">
        <v>0</v>
      </c>
      <c r="K42" s="2">
        <v>1.787107359484855</v>
      </c>
      <c r="L42" s="2" t="s">
        <v>24</v>
      </c>
    </row>
    <row r="43" spans="1:12" x14ac:dyDescent="0.25">
      <c r="A43" t="s">
        <v>12</v>
      </c>
      <c r="B43" t="s">
        <v>20</v>
      </c>
      <c r="C43" t="s">
        <v>14</v>
      </c>
      <c r="D43" t="s">
        <v>22</v>
      </c>
      <c r="E43" t="s">
        <v>30</v>
      </c>
      <c r="F43" t="s">
        <v>23</v>
      </c>
      <c r="G43" s="3">
        <v>519.41550986960806</v>
      </c>
      <c r="H43" s="3">
        <v>41.069700958659581</v>
      </c>
      <c r="I43" s="5">
        <v>8.9593887482136245E-2</v>
      </c>
      <c r="J43" s="5">
        <v>0.11015853286516419</v>
      </c>
      <c r="K43" s="2">
        <v>4.9840547173667664</v>
      </c>
      <c r="L43" s="2" t="s">
        <v>36</v>
      </c>
    </row>
    <row r="44" spans="1:12" x14ac:dyDescent="0.25">
      <c r="A44" t="s">
        <v>12</v>
      </c>
      <c r="B44" t="s">
        <v>13</v>
      </c>
      <c r="C44" t="s">
        <v>41</v>
      </c>
      <c r="D44" t="s">
        <v>27</v>
      </c>
      <c r="E44" t="s">
        <v>30</v>
      </c>
      <c r="F44" t="s">
        <v>31</v>
      </c>
      <c r="G44" s="3">
        <v>653.48694583058182</v>
      </c>
      <c r="H44" s="3">
        <v>53.491556256636777</v>
      </c>
      <c r="I44" s="5">
        <v>0.12568929754561051</v>
      </c>
      <c r="J44" s="5">
        <v>0.140842861116417</v>
      </c>
      <c r="K44" s="2">
        <v>4.7152410299574132</v>
      </c>
      <c r="L44" s="2" t="s">
        <v>36</v>
      </c>
    </row>
    <row r="45" spans="1:12" x14ac:dyDescent="0.25">
      <c r="A45" t="s">
        <v>12</v>
      </c>
      <c r="B45" t="s">
        <v>20</v>
      </c>
      <c r="C45" t="s">
        <v>21</v>
      </c>
      <c r="D45" t="s">
        <v>27</v>
      </c>
      <c r="E45" t="s">
        <v>30</v>
      </c>
      <c r="F45" t="s">
        <v>35</v>
      </c>
      <c r="G45" s="3">
        <v>215.05036275730859</v>
      </c>
      <c r="H45" s="3">
        <v>21.96297874415438</v>
      </c>
      <c r="I45" s="5">
        <v>1.936420644051742E-2</v>
      </c>
      <c r="J45" s="5">
        <v>0.40923872756854612</v>
      </c>
      <c r="K45" s="2">
        <v>6.9431419019087111</v>
      </c>
      <c r="L45" s="2" t="s">
        <v>28</v>
      </c>
    </row>
    <row r="46" spans="1:12" x14ac:dyDescent="0.25">
      <c r="A46" t="s">
        <v>12</v>
      </c>
      <c r="B46" t="s">
        <v>20</v>
      </c>
      <c r="C46" t="s">
        <v>21</v>
      </c>
      <c r="D46" t="s">
        <v>27</v>
      </c>
      <c r="E46" t="s">
        <v>37</v>
      </c>
      <c r="F46" t="s">
        <v>35</v>
      </c>
      <c r="G46" s="3">
        <v>602.65348662267127</v>
      </c>
      <c r="H46" s="3">
        <v>19.703055506282709</v>
      </c>
      <c r="I46" s="5">
        <v>6.8865024008970321E-2</v>
      </c>
      <c r="J46" s="5">
        <v>0.14230963443375971</v>
      </c>
      <c r="K46" s="2">
        <v>6.763279513898901</v>
      </c>
      <c r="L46" s="2" t="s">
        <v>38</v>
      </c>
    </row>
    <row r="47" spans="1:12" x14ac:dyDescent="0.25">
      <c r="A47" t="s">
        <v>12</v>
      </c>
      <c r="B47" t="s">
        <v>26</v>
      </c>
      <c r="C47" t="s">
        <v>33</v>
      </c>
      <c r="D47" t="s">
        <v>27</v>
      </c>
      <c r="E47" t="s">
        <v>30</v>
      </c>
      <c r="F47" t="s">
        <v>35</v>
      </c>
      <c r="G47" s="3">
        <v>207.29701037357631</v>
      </c>
      <c r="H47" s="3">
        <v>57.706347594576727</v>
      </c>
      <c r="I47" s="5">
        <v>6.5354520236967292E-2</v>
      </c>
      <c r="J47" s="5">
        <v>0.15308243478952949</v>
      </c>
      <c r="K47" s="2">
        <v>6.0778200873693171</v>
      </c>
      <c r="L47" s="2" t="s">
        <v>45</v>
      </c>
    </row>
    <row r="48" spans="1:12" x14ac:dyDescent="0.25">
      <c r="A48" t="s">
        <v>12</v>
      </c>
      <c r="B48" t="s">
        <v>13</v>
      </c>
      <c r="C48" t="s">
        <v>14</v>
      </c>
      <c r="D48" t="s">
        <v>15</v>
      </c>
      <c r="E48" t="s">
        <v>16</v>
      </c>
      <c r="F48" t="s">
        <v>17</v>
      </c>
      <c r="G48" s="3">
        <v>599.34283060224652</v>
      </c>
      <c r="H48" s="3">
        <v>21.692585158991719</v>
      </c>
      <c r="I48" s="5">
        <v>0.1178893680174142</v>
      </c>
      <c r="J48" s="5">
        <v>0.1171004989077928</v>
      </c>
      <c r="K48" s="2">
        <v>1.811144682411266</v>
      </c>
      <c r="L48" s="2" t="s">
        <v>18</v>
      </c>
    </row>
    <row r="49" spans="1:12" x14ac:dyDescent="0.25">
      <c r="A49" t="s">
        <v>12</v>
      </c>
      <c r="B49" t="s">
        <v>20</v>
      </c>
      <c r="C49" t="s">
        <v>33</v>
      </c>
      <c r="D49" t="s">
        <v>15</v>
      </c>
      <c r="E49" t="s">
        <v>34</v>
      </c>
      <c r="F49" t="s">
        <v>35</v>
      </c>
      <c r="G49" s="3">
        <v>453.16932505533282</v>
      </c>
      <c r="H49" s="3">
        <v>46.774285766679817</v>
      </c>
      <c r="I49" s="5">
        <v>3.1116531602145451E-2</v>
      </c>
      <c r="J49" s="5">
        <v>0.19790984060358521</v>
      </c>
      <c r="K49" s="2">
        <v>4.0998690570415128</v>
      </c>
      <c r="L49" s="2" t="s">
        <v>36</v>
      </c>
    </row>
    <row r="50" spans="1:12" x14ac:dyDescent="0.25">
      <c r="A50" t="s">
        <v>12</v>
      </c>
      <c r="B50" t="s">
        <v>13</v>
      </c>
      <c r="C50" t="s">
        <v>21</v>
      </c>
      <c r="D50" t="s">
        <v>15</v>
      </c>
      <c r="E50" t="s">
        <v>37</v>
      </c>
      <c r="F50" t="s">
        <v>17</v>
      </c>
      <c r="G50" s="3">
        <v>453.17260861016388</v>
      </c>
      <c r="H50" s="3">
        <v>58.081017136290768</v>
      </c>
      <c r="I50" s="5">
        <v>5.3108748004243873E-2</v>
      </c>
      <c r="J50" s="5">
        <v>0.21173273833087819</v>
      </c>
      <c r="K50" s="2">
        <v>6.2456998646949966</v>
      </c>
      <c r="L50" s="2" t="s">
        <v>38</v>
      </c>
    </row>
    <row r="51" spans="1:12" x14ac:dyDescent="0.25">
      <c r="A51" t="s">
        <v>12</v>
      </c>
      <c r="B51" t="s">
        <v>13</v>
      </c>
      <c r="C51" t="s">
        <v>21</v>
      </c>
      <c r="D51" t="s">
        <v>15</v>
      </c>
      <c r="E51" t="s">
        <v>30</v>
      </c>
      <c r="F51" t="s">
        <v>17</v>
      </c>
      <c r="G51" s="3">
        <v>406.10512281300959</v>
      </c>
      <c r="H51" s="3">
        <v>55.151007814455284</v>
      </c>
      <c r="I51" s="5">
        <v>0.12575238431530239</v>
      </c>
      <c r="J51" s="5">
        <v>0.25470973811700381</v>
      </c>
      <c r="K51" s="2">
        <v>5.2405912634237977</v>
      </c>
      <c r="L51" s="2" t="s">
        <v>32</v>
      </c>
    </row>
    <row r="52" spans="1:12" x14ac:dyDescent="0.25">
      <c r="A52" t="s">
        <v>12</v>
      </c>
      <c r="B52" t="s">
        <v>26</v>
      </c>
      <c r="C52" t="s">
        <v>21</v>
      </c>
      <c r="D52" t="s">
        <v>15</v>
      </c>
      <c r="E52" t="s">
        <v>30</v>
      </c>
      <c r="F52" t="s">
        <v>17</v>
      </c>
      <c r="G52" s="3">
        <v>434.46757068044627</v>
      </c>
      <c r="H52" s="3">
        <v>25.085224425760241</v>
      </c>
      <c r="I52" s="5">
        <v>0.1424801048510512</v>
      </c>
      <c r="J52" s="5">
        <v>0.38314587658543542</v>
      </c>
      <c r="K52" s="2">
        <v>3.277431597343472</v>
      </c>
      <c r="L52" s="2" t="s">
        <v>36</v>
      </c>
    </row>
    <row r="53" spans="1:12" x14ac:dyDescent="0.25">
      <c r="A53" t="s">
        <v>12</v>
      </c>
      <c r="B53" t="s">
        <v>26</v>
      </c>
      <c r="C53" t="s">
        <v>33</v>
      </c>
      <c r="D53" t="s">
        <v>39</v>
      </c>
      <c r="E53" t="s">
        <v>16</v>
      </c>
      <c r="F53" t="s">
        <v>17</v>
      </c>
      <c r="G53" s="3">
        <v>815.84256310147828</v>
      </c>
      <c r="H53" s="3">
        <v>87.723718024210598</v>
      </c>
      <c r="I53" s="5">
        <v>0.12575176336043301</v>
      </c>
      <c r="J53" s="5">
        <v>0.32776648957884252</v>
      </c>
      <c r="K53" s="2">
        <v>2.8647591412348108</v>
      </c>
      <c r="L53" s="2" t="s">
        <v>40</v>
      </c>
    </row>
    <row r="54" spans="1:12" x14ac:dyDescent="0.25">
      <c r="A54" t="s">
        <v>12</v>
      </c>
      <c r="B54" t="s">
        <v>26</v>
      </c>
      <c r="C54" t="s">
        <v>33</v>
      </c>
      <c r="D54" t="s">
        <v>39</v>
      </c>
      <c r="E54" t="s">
        <v>34</v>
      </c>
      <c r="F54" t="s">
        <v>23</v>
      </c>
      <c r="G54" s="3">
        <v>318.39518489575778</v>
      </c>
      <c r="H54" s="3">
        <v>72.856456290300414</v>
      </c>
      <c r="I54" s="5">
        <v>7.573182260854483E-2</v>
      </c>
      <c r="J54" s="5">
        <v>0.23241663524884421</v>
      </c>
      <c r="K54" s="2">
        <v>7.3585943681276529</v>
      </c>
      <c r="L54" s="2" t="s">
        <v>45</v>
      </c>
    </row>
    <row r="55" spans="1:12" x14ac:dyDescent="0.25">
      <c r="A55" t="s">
        <v>12</v>
      </c>
      <c r="B55" t="s">
        <v>13</v>
      </c>
      <c r="C55" t="s">
        <v>41</v>
      </c>
      <c r="D55" t="s">
        <v>39</v>
      </c>
      <c r="E55" t="s">
        <v>37</v>
      </c>
      <c r="F55" t="s">
        <v>23</v>
      </c>
      <c r="G55" s="3">
        <v>485.59797568393321</v>
      </c>
      <c r="H55" s="3">
        <v>66.441203199889799</v>
      </c>
      <c r="I55" s="5">
        <v>0.18162056519658179</v>
      </c>
      <c r="J55" s="5">
        <v>0.22240924818104171</v>
      </c>
      <c r="K55" s="2">
        <v>6.22833340008685</v>
      </c>
      <c r="L55" s="2" t="s">
        <v>43</v>
      </c>
    </row>
    <row r="56" spans="1:12" x14ac:dyDescent="0.25">
      <c r="A56" t="s">
        <v>12</v>
      </c>
      <c r="B56" t="s">
        <v>26</v>
      </c>
      <c r="C56" t="s">
        <v>21</v>
      </c>
      <c r="D56" t="s">
        <v>39</v>
      </c>
      <c r="E56" t="s">
        <v>34</v>
      </c>
      <c r="F56" t="s">
        <v>31</v>
      </c>
      <c r="G56" s="3">
        <v>517.40941364763421</v>
      </c>
      <c r="H56" s="3">
        <v>50.260037837558137</v>
      </c>
      <c r="I56" s="5">
        <v>0.1099529847786735</v>
      </c>
      <c r="J56" s="5">
        <v>0.28723206367206783</v>
      </c>
      <c r="K56" s="2">
        <v>6.1531139261115326</v>
      </c>
      <c r="L56" s="2" t="s">
        <v>40</v>
      </c>
    </row>
    <row r="57" spans="1:12" x14ac:dyDescent="0.25">
      <c r="A57" t="s">
        <v>12</v>
      </c>
      <c r="B57" t="s">
        <v>13</v>
      </c>
      <c r="C57" t="s">
        <v>14</v>
      </c>
      <c r="D57" t="s">
        <v>39</v>
      </c>
      <c r="E57" t="s">
        <v>30</v>
      </c>
      <c r="F57" t="s">
        <v>35</v>
      </c>
      <c r="G57" s="3">
        <v>102.4862170798214</v>
      </c>
      <c r="H57" s="3">
        <v>104.4033833317924</v>
      </c>
      <c r="I57" s="5">
        <v>8.0734320156911996E-2</v>
      </c>
      <c r="J57" s="5">
        <v>0.1191701714644849</v>
      </c>
      <c r="K57" s="2">
        <v>7.2391498228691544</v>
      </c>
      <c r="L57" s="2" t="s">
        <v>36</v>
      </c>
    </row>
    <row r="58" spans="1:12" x14ac:dyDescent="0.25">
      <c r="A58" t="s">
        <v>12</v>
      </c>
      <c r="B58" t="s">
        <v>26</v>
      </c>
      <c r="C58" t="s">
        <v>14</v>
      </c>
      <c r="D58" t="s">
        <v>39</v>
      </c>
      <c r="E58" t="s">
        <v>34</v>
      </c>
      <c r="F58" t="s">
        <v>23</v>
      </c>
      <c r="G58" s="3">
        <v>338.30127942136238</v>
      </c>
      <c r="H58" s="3">
        <v>45.530744293482982</v>
      </c>
      <c r="I58" s="5">
        <v>0.20665166873281329</v>
      </c>
      <c r="J58" s="5">
        <v>0.1240867338446302</v>
      </c>
      <c r="K58" s="2">
        <v>3.4872985094313931</v>
      </c>
      <c r="L58" s="2" t="s">
        <v>45</v>
      </c>
    </row>
    <row r="59" spans="1:12" x14ac:dyDescent="0.25">
      <c r="A59" t="s">
        <v>12</v>
      </c>
      <c r="B59" t="s">
        <v>20</v>
      </c>
      <c r="C59" t="s">
        <v>14</v>
      </c>
      <c r="D59" t="s">
        <v>39</v>
      </c>
      <c r="E59" t="s">
        <v>16</v>
      </c>
      <c r="F59" t="s">
        <v>17</v>
      </c>
      <c r="G59" s="3">
        <v>501.02269132849221</v>
      </c>
      <c r="H59" s="3">
        <v>51.164174368920001</v>
      </c>
      <c r="I59" s="5">
        <v>0.14064310594194801</v>
      </c>
      <c r="J59" s="5">
        <v>0.1885460154747382</v>
      </c>
      <c r="K59" s="2">
        <v>3.2487634932304861</v>
      </c>
      <c r="L59" s="2" t="s">
        <v>38</v>
      </c>
    </row>
    <row r="60" spans="1:12" x14ac:dyDescent="0.25">
      <c r="A60" t="s">
        <v>25</v>
      </c>
      <c r="B60" t="s">
        <v>26</v>
      </c>
      <c r="C60" t="s">
        <v>41</v>
      </c>
      <c r="D60" t="s">
        <v>22</v>
      </c>
      <c r="E60" t="s">
        <v>16</v>
      </c>
      <c r="F60" t="s">
        <v>23</v>
      </c>
      <c r="G60" s="3">
        <v>147.39196892745321</v>
      </c>
      <c r="H60" s="3">
        <v>55.939693464663719</v>
      </c>
      <c r="I60" s="5">
        <v>0.12024908554804779</v>
      </c>
      <c r="J60" s="5">
        <v>0.17865528482881529</v>
      </c>
      <c r="K60" s="2">
        <v>2.8815729562220969</v>
      </c>
      <c r="L60" s="2" t="s">
        <v>40</v>
      </c>
    </row>
    <row r="61" spans="1:12" x14ac:dyDescent="0.25">
      <c r="A61" t="s">
        <v>25</v>
      </c>
      <c r="B61" t="s">
        <v>20</v>
      </c>
      <c r="C61" t="s">
        <v>33</v>
      </c>
      <c r="D61" t="s">
        <v>22</v>
      </c>
      <c r="E61" t="s">
        <v>16</v>
      </c>
      <c r="F61" t="s">
        <v>23</v>
      </c>
      <c r="G61" s="3">
        <v>706.19990449919021</v>
      </c>
      <c r="H61" s="3">
        <v>55.861449465973621</v>
      </c>
      <c r="I61" s="5">
        <v>2.403150170229933E-2</v>
      </c>
      <c r="J61" s="5">
        <v>0.19809837920973111</v>
      </c>
      <c r="K61" s="2">
        <v>3.939484763255118</v>
      </c>
      <c r="L61" s="2" t="s">
        <v>45</v>
      </c>
    </row>
    <row r="62" spans="1:12" x14ac:dyDescent="0.25">
      <c r="A62" t="s">
        <v>25</v>
      </c>
      <c r="B62" t="s">
        <v>20</v>
      </c>
      <c r="C62" t="s">
        <v>14</v>
      </c>
      <c r="D62" t="s">
        <v>22</v>
      </c>
      <c r="E62" t="s">
        <v>34</v>
      </c>
      <c r="F62" t="s">
        <v>31</v>
      </c>
      <c r="G62" s="3">
        <v>404.16515243094199</v>
      </c>
      <c r="H62" s="3">
        <v>30.506366595453571</v>
      </c>
      <c r="I62" s="5">
        <v>5.3653476421095858E-2</v>
      </c>
      <c r="J62" s="5">
        <v>0.25193465142411731</v>
      </c>
      <c r="K62" s="2">
        <v>8.929450265832779</v>
      </c>
      <c r="L62" s="2" t="s">
        <v>36</v>
      </c>
    </row>
    <row r="63" spans="1:12" x14ac:dyDescent="0.25">
      <c r="A63" t="s">
        <v>25</v>
      </c>
      <c r="B63" t="s">
        <v>26</v>
      </c>
      <c r="C63" t="s">
        <v>41</v>
      </c>
      <c r="D63" t="s">
        <v>22</v>
      </c>
      <c r="E63" t="s">
        <v>16</v>
      </c>
      <c r="F63" t="s">
        <v>17</v>
      </c>
      <c r="G63" s="3">
        <v>456.06562243249761</v>
      </c>
      <c r="H63" s="3">
        <v>62.513346955300122</v>
      </c>
      <c r="I63" s="5">
        <v>0.1056758672625624</v>
      </c>
      <c r="J63" s="5">
        <v>0.11602781578192239</v>
      </c>
      <c r="K63" s="2">
        <v>4.7441648170384667</v>
      </c>
      <c r="L63" s="2" t="s">
        <v>28</v>
      </c>
    </row>
    <row r="64" spans="1:12" x14ac:dyDescent="0.25">
      <c r="A64" t="s">
        <v>25</v>
      </c>
      <c r="B64" t="s">
        <v>20</v>
      </c>
      <c r="C64" t="s">
        <v>41</v>
      </c>
      <c r="D64" t="s">
        <v>22</v>
      </c>
      <c r="E64" t="s">
        <v>37</v>
      </c>
      <c r="F64" t="s">
        <v>23</v>
      </c>
      <c r="G64" s="3">
        <v>396.34595634527051</v>
      </c>
      <c r="H64" s="3">
        <v>59.649448304863697</v>
      </c>
      <c r="I64" s="5">
        <v>3.8109225058657548E-2</v>
      </c>
      <c r="J64" s="5">
        <v>0.14742449783192391</v>
      </c>
      <c r="K64" s="2">
        <v>5.4069272717344461</v>
      </c>
      <c r="L64" s="2" t="s">
        <v>45</v>
      </c>
    </row>
    <row r="65" spans="1:12" x14ac:dyDescent="0.25">
      <c r="A65" t="s">
        <v>25</v>
      </c>
      <c r="B65" t="s">
        <v>26</v>
      </c>
      <c r="C65" t="s">
        <v>21</v>
      </c>
      <c r="D65" t="s">
        <v>27</v>
      </c>
      <c r="E65" t="s">
        <v>16</v>
      </c>
      <c r="F65" t="s">
        <v>17</v>
      </c>
      <c r="G65" s="3">
        <v>629.53770762013846</v>
      </c>
      <c r="H65" s="3">
        <v>43.145709669464608</v>
      </c>
      <c r="I65" s="5">
        <v>0.15415256215876391</v>
      </c>
      <c r="J65" s="5">
        <v>0.27472936051232622</v>
      </c>
      <c r="K65" s="2">
        <v>5.0104873994363661</v>
      </c>
      <c r="L65" s="2" t="s">
        <v>28</v>
      </c>
    </row>
    <row r="66" spans="1:12" x14ac:dyDescent="0.25">
      <c r="A66" t="s">
        <v>25</v>
      </c>
      <c r="B66" t="s">
        <v>26</v>
      </c>
      <c r="C66" t="s">
        <v>33</v>
      </c>
      <c r="D66" t="s">
        <v>27</v>
      </c>
      <c r="E66" t="s">
        <v>34</v>
      </c>
      <c r="F66" t="s">
        <v>23</v>
      </c>
      <c r="G66" s="3">
        <v>117.3439510684404</v>
      </c>
      <c r="H66" s="3">
        <v>99.264842249705723</v>
      </c>
      <c r="I66" s="5">
        <v>0.1325695625652899</v>
      </c>
      <c r="J66" s="5">
        <v>0.28135096360006379</v>
      </c>
      <c r="K66" s="2">
        <v>7.5553536437970177</v>
      </c>
      <c r="L66" s="2" t="s">
        <v>43</v>
      </c>
    </row>
    <row r="67" spans="1:12" x14ac:dyDescent="0.25">
      <c r="A67" t="s">
        <v>25</v>
      </c>
      <c r="B67" t="s">
        <v>20</v>
      </c>
      <c r="C67" t="s">
        <v>41</v>
      </c>
      <c r="D67" t="s">
        <v>27</v>
      </c>
      <c r="E67" t="s">
        <v>30</v>
      </c>
      <c r="F67" t="s">
        <v>35</v>
      </c>
      <c r="G67" s="3">
        <v>155.01643349739351</v>
      </c>
      <c r="H67" s="3">
        <v>46.152780704377548</v>
      </c>
      <c r="I67" s="5">
        <v>8.4236537767982719E-2</v>
      </c>
      <c r="J67" s="5">
        <v>0.33054788071543301</v>
      </c>
      <c r="K67" s="2">
        <v>5.6646280239591844</v>
      </c>
      <c r="L67" s="2" t="s">
        <v>28</v>
      </c>
    </row>
    <row r="68" spans="1:12" x14ac:dyDescent="0.25">
      <c r="A68" t="s">
        <v>25</v>
      </c>
      <c r="B68" t="s">
        <v>20</v>
      </c>
      <c r="C68" t="s">
        <v>41</v>
      </c>
      <c r="D68" t="s">
        <v>27</v>
      </c>
      <c r="E68" t="s">
        <v>16</v>
      </c>
      <c r="F68" t="s">
        <v>23</v>
      </c>
      <c r="G68" s="3">
        <v>793.12975378431088</v>
      </c>
      <c r="H68" s="3">
        <v>65.820638940860931</v>
      </c>
      <c r="I68" s="5">
        <v>0.21573292833367541</v>
      </c>
      <c r="J68" s="5">
        <v>0.20969959649927181</v>
      </c>
      <c r="K68" s="2">
        <v>9.1214958497639742</v>
      </c>
      <c r="L68" s="2" t="s">
        <v>28</v>
      </c>
    </row>
    <row r="69" spans="1:12" x14ac:dyDescent="0.25">
      <c r="A69" t="s">
        <v>25</v>
      </c>
      <c r="B69" t="s">
        <v>20</v>
      </c>
      <c r="C69" t="s">
        <v>21</v>
      </c>
      <c r="D69" t="s">
        <v>27</v>
      </c>
      <c r="E69" t="s">
        <v>37</v>
      </c>
      <c r="F69" t="s">
        <v>23</v>
      </c>
      <c r="G69" s="3">
        <v>288.45781420882003</v>
      </c>
      <c r="H69" s="3">
        <v>59.471848612703631</v>
      </c>
      <c r="I69" s="5">
        <v>6.7419982619709148E-2</v>
      </c>
      <c r="J69" s="5">
        <v>0.13228382884878881</v>
      </c>
      <c r="K69" s="2">
        <v>6.4350845115919242</v>
      </c>
      <c r="L69" s="2" t="s">
        <v>45</v>
      </c>
    </row>
    <row r="70" spans="1:12" x14ac:dyDescent="0.25">
      <c r="A70" t="s">
        <v>25</v>
      </c>
      <c r="B70" t="s">
        <v>13</v>
      </c>
      <c r="C70" t="s">
        <v>41</v>
      </c>
      <c r="D70" t="s">
        <v>27</v>
      </c>
      <c r="E70" t="s">
        <v>30</v>
      </c>
      <c r="F70" t="s">
        <v>23</v>
      </c>
      <c r="G70" s="3">
        <v>438.15752482975711</v>
      </c>
      <c r="H70" s="3">
        <v>59.476658418235751</v>
      </c>
      <c r="I70" s="5">
        <v>6.4616526719060957E-2</v>
      </c>
      <c r="J70" s="5">
        <v>0.1711341361079862</v>
      </c>
      <c r="K70" s="2">
        <v>2.9295153551612518</v>
      </c>
      <c r="L70" s="2" t="s">
        <v>24</v>
      </c>
    </row>
    <row r="71" spans="1:12" x14ac:dyDescent="0.25">
      <c r="A71" t="s">
        <v>25</v>
      </c>
      <c r="B71" t="s">
        <v>26</v>
      </c>
      <c r="C71" t="s">
        <v>41</v>
      </c>
      <c r="D71" t="s">
        <v>15</v>
      </c>
      <c r="E71" t="s">
        <v>16</v>
      </c>
      <c r="F71" t="s">
        <v>23</v>
      </c>
      <c r="G71" s="3">
        <v>406.85404928594858</v>
      </c>
      <c r="H71" s="3">
        <v>49.469722491015659</v>
      </c>
      <c r="I71" s="5">
        <v>0.15677828200902999</v>
      </c>
      <c r="J71" s="5">
        <v>0.30987768519871911</v>
      </c>
      <c r="K71" s="2">
        <v>2.750715816324262</v>
      </c>
      <c r="L71" s="2" t="s">
        <v>32</v>
      </c>
    </row>
    <row r="72" spans="1:12" x14ac:dyDescent="0.25">
      <c r="A72" t="s">
        <v>25</v>
      </c>
      <c r="B72" t="s">
        <v>13</v>
      </c>
      <c r="C72" t="s">
        <v>33</v>
      </c>
      <c r="D72" t="s">
        <v>15</v>
      </c>
      <c r="E72" t="s">
        <v>34</v>
      </c>
      <c r="F72" t="s">
        <v>31</v>
      </c>
      <c r="G72" s="3">
        <v>548.39245431320683</v>
      </c>
      <c r="H72" s="3">
        <v>51.204604198820533</v>
      </c>
      <c r="I72" s="5">
        <v>0.1477000881746601</v>
      </c>
      <c r="J72" s="5">
        <v>0.28254163489880302</v>
      </c>
      <c r="K72" s="2">
        <v>1.931771658528755</v>
      </c>
      <c r="L72" s="2" t="s">
        <v>42</v>
      </c>
    </row>
    <row r="73" spans="1:12" x14ac:dyDescent="0.25">
      <c r="A73" t="s">
        <v>25</v>
      </c>
      <c r="B73" t="s">
        <v>26</v>
      </c>
      <c r="C73" t="s">
        <v>21</v>
      </c>
      <c r="D73" t="s">
        <v>15</v>
      </c>
      <c r="E73" t="s">
        <v>37</v>
      </c>
      <c r="F73" t="s">
        <v>35</v>
      </c>
      <c r="G73" s="3">
        <v>575.13960366913443</v>
      </c>
      <c r="H73" s="3">
        <v>38.674045407944561</v>
      </c>
      <c r="I73" s="5">
        <v>4.6112761103534697E-2</v>
      </c>
      <c r="J73" s="5">
        <v>0.27916626939629358</v>
      </c>
      <c r="K73" s="2">
        <v>6.3721029199968786</v>
      </c>
      <c r="L73" s="2" t="s">
        <v>43</v>
      </c>
    </row>
    <row r="74" spans="1:12" x14ac:dyDescent="0.25">
      <c r="A74" t="s">
        <v>25</v>
      </c>
      <c r="B74" t="s">
        <v>26</v>
      </c>
      <c r="C74" t="s">
        <v>21</v>
      </c>
      <c r="D74" t="s">
        <v>15</v>
      </c>
      <c r="E74" t="s">
        <v>37</v>
      </c>
      <c r="F74" t="s">
        <v>31</v>
      </c>
      <c r="G74" s="3">
        <v>568.72365791369225</v>
      </c>
      <c r="H74" s="3">
        <v>60.438831312337953</v>
      </c>
      <c r="I74" s="5">
        <v>0.18827271201405479</v>
      </c>
      <c r="J74" s="5">
        <v>0.1281555778747564</v>
      </c>
      <c r="K74" s="2">
        <v>3.9722661653266131</v>
      </c>
      <c r="L74" s="2" t="s">
        <v>40</v>
      </c>
    </row>
    <row r="75" spans="1:12" x14ac:dyDescent="0.25">
      <c r="A75" t="s">
        <v>25</v>
      </c>
      <c r="B75" t="s">
        <v>13</v>
      </c>
      <c r="C75" t="s">
        <v>33</v>
      </c>
      <c r="D75" t="s">
        <v>15</v>
      </c>
      <c r="E75" t="s">
        <v>30</v>
      </c>
      <c r="F75" t="s">
        <v>31</v>
      </c>
      <c r="G75" s="3">
        <v>572.32720500952678</v>
      </c>
      <c r="H75" s="3">
        <v>45.092237679942592</v>
      </c>
      <c r="I75" s="5">
        <v>7.7997775665150815E-2</v>
      </c>
      <c r="J75" s="5">
        <v>0.20976760985488321</v>
      </c>
      <c r="K75" s="2">
        <v>3.9389977047789451</v>
      </c>
      <c r="L75" s="2" t="s">
        <v>36</v>
      </c>
    </row>
    <row r="76" spans="1:12" x14ac:dyDescent="0.25">
      <c r="A76" t="s">
        <v>25</v>
      </c>
      <c r="B76" t="s">
        <v>26</v>
      </c>
      <c r="C76" t="s">
        <v>41</v>
      </c>
      <c r="D76" t="s">
        <v>15</v>
      </c>
      <c r="E76" t="s">
        <v>16</v>
      </c>
      <c r="F76" t="s">
        <v>23</v>
      </c>
      <c r="G76" s="3">
        <v>693.72899810657782</v>
      </c>
      <c r="H76" s="3">
        <v>67.127975886469443</v>
      </c>
      <c r="I76" s="5">
        <v>7.5349953267058359E-2</v>
      </c>
      <c r="J76" s="5">
        <v>0.24919191715065059</v>
      </c>
      <c r="K76" s="2">
        <v>7.9598882777800517</v>
      </c>
      <c r="L76" s="2" t="s">
        <v>45</v>
      </c>
    </row>
    <row r="77" spans="1:12" x14ac:dyDescent="0.25">
      <c r="A77" t="s">
        <v>25</v>
      </c>
      <c r="B77" t="s">
        <v>26</v>
      </c>
      <c r="C77" t="s">
        <v>41</v>
      </c>
      <c r="D77" t="s">
        <v>39</v>
      </c>
      <c r="E77" t="s">
        <v>16</v>
      </c>
      <c r="F77" t="s">
        <v>23</v>
      </c>
      <c r="G77" s="3">
        <v>711.42444524378311</v>
      </c>
      <c r="H77" s="3">
        <v>23.590867738314468</v>
      </c>
      <c r="I77" s="5">
        <v>6.7333538371314408E-2</v>
      </c>
      <c r="J77" s="5">
        <v>5.9253622562344482E-2</v>
      </c>
      <c r="K77" s="2">
        <v>3.1202404273452902</v>
      </c>
      <c r="L77" s="2" t="s">
        <v>43</v>
      </c>
    </row>
    <row r="78" spans="1:12" x14ac:dyDescent="0.25">
      <c r="A78" t="s">
        <v>25</v>
      </c>
      <c r="B78" t="s">
        <v>20</v>
      </c>
      <c r="C78" t="s">
        <v>33</v>
      </c>
      <c r="D78" t="s">
        <v>39</v>
      </c>
      <c r="E78" t="s">
        <v>37</v>
      </c>
      <c r="F78" t="s">
        <v>17</v>
      </c>
      <c r="G78" s="3">
        <v>622.33525776817362</v>
      </c>
      <c r="H78" s="3">
        <v>54.645073943220069</v>
      </c>
      <c r="I78" s="5">
        <v>0.15162326302755741</v>
      </c>
      <c r="J78" s="5">
        <v>0.18400614700365731</v>
      </c>
      <c r="K78" s="2">
        <v>6.0080930310356884</v>
      </c>
      <c r="L78" s="2" t="s">
        <v>43</v>
      </c>
    </row>
    <row r="79" spans="1:12" x14ac:dyDescent="0.25">
      <c r="A79" t="s">
        <v>29</v>
      </c>
      <c r="B79" t="s">
        <v>26</v>
      </c>
      <c r="C79" t="s">
        <v>14</v>
      </c>
      <c r="D79" t="s">
        <v>22</v>
      </c>
      <c r="E79" t="s">
        <v>30</v>
      </c>
      <c r="F79" t="s">
        <v>31</v>
      </c>
      <c r="G79" s="3">
        <v>804.60597128160509</v>
      </c>
      <c r="H79" s="3">
        <v>33.95445461556762</v>
      </c>
      <c r="I79" s="5">
        <v>0.15269010260174509</v>
      </c>
      <c r="J79" s="5">
        <v>0.26103702654334648</v>
      </c>
      <c r="K79" s="2">
        <v>5.0939611875294837</v>
      </c>
      <c r="L79" s="2" t="s">
        <v>32</v>
      </c>
    </row>
    <row r="80" spans="1:12" x14ac:dyDescent="0.25">
      <c r="A80" t="s">
        <v>29</v>
      </c>
      <c r="B80" t="s">
        <v>20</v>
      </c>
      <c r="C80" t="s">
        <v>41</v>
      </c>
      <c r="D80" t="s">
        <v>22</v>
      </c>
      <c r="E80" t="s">
        <v>16</v>
      </c>
      <c r="F80" t="s">
        <v>17</v>
      </c>
      <c r="G80" s="3">
        <v>269.80128451553952</v>
      </c>
      <c r="H80" s="3">
        <v>30.189273497386228</v>
      </c>
      <c r="I80" s="5">
        <v>0.10321400095477309</v>
      </c>
      <c r="J80" s="5">
        <v>0.31581108735000679</v>
      </c>
      <c r="K80" s="2">
        <v>3.070153078839791</v>
      </c>
      <c r="L80" s="2" t="s">
        <v>43</v>
      </c>
    </row>
    <row r="81" spans="1:12" x14ac:dyDescent="0.25">
      <c r="A81" t="s">
        <v>29</v>
      </c>
      <c r="B81" t="s">
        <v>26</v>
      </c>
      <c r="C81" t="s">
        <v>33</v>
      </c>
      <c r="D81" t="s">
        <v>22</v>
      </c>
      <c r="E81" t="s">
        <v>30</v>
      </c>
      <c r="F81" t="s">
        <v>31</v>
      </c>
      <c r="G81" s="3">
        <v>399.64859128309268</v>
      </c>
      <c r="H81" s="3">
        <v>64.280009881841835</v>
      </c>
      <c r="I81" s="5">
        <v>2.395610023874908E-3</v>
      </c>
      <c r="J81" s="5">
        <v>0.21503937864762079</v>
      </c>
      <c r="K81" s="2">
        <v>2.1554925808046521</v>
      </c>
      <c r="L81" s="2" t="s">
        <v>40</v>
      </c>
    </row>
    <row r="82" spans="1:12" x14ac:dyDescent="0.25">
      <c r="A82" t="s">
        <v>29</v>
      </c>
      <c r="B82" t="s">
        <v>13</v>
      </c>
      <c r="C82" t="s">
        <v>33</v>
      </c>
      <c r="D82" t="s">
        <v>27</v>
      </c>
      <c r="E82" t="s">
        <v>37</v>
      </c>
      <c r="F82" t="s">
        <v>31</v>
      </c>
      <c r="G82" s="3">
        <v>407.31646143750748</v>
      </c>
      <c r="H82" s="3">
        <v>11.624575694019169</v>
      </c>
      <c r="I82" s="5">
        <v>0.12854452553465839</v>
      </c>
      <c r="J82" s="5">
        <v>0.17823187967727799</v>
      </c>
      <c r="K82" s="2">
        <v>6.4232297561777791</v>
      </c>
      <c r="L82" s="2" t="s">
        <v>32</v>
      </c>
    </row>
    <row r="83" spans="1:12" x14ac:dyDescent="0.25">
      <c r="A83" t="s">
        <v>29</v>
      </c>
      <c r="B83" t="s">
        <v>20</v>
      </c>
      <c r="C83" t="s">
        <v>33</v>
      </c>
      <c r="D83" t="s">
        <v>27</v>
      </c>
      <c r="E83" t="s">
        <v>16</v>
      </c>
      <c r="F83" t="s">
        <v>17</v>
      </c>
      <c r="G83" s="3">
        <v>522.18451794197324</v>
      </c>
      <c r="H83" s="3">
        <v>93.809112516199576</v>
      </c>
      <c r="I83" s="5">
        <v>0.15444752984836829</v>
      </c>
      <c r="J83" s="5">
        <v>7.8581138721226795E-2</v>
      </c>
      <c r="K83" s="2">
        <v>7.7372631150646978</v>
      </c>
      <c r="L83" s="2" t="s">
        <v>24</v>
      </c>
    </row>
    <row r="84" spans="1:12" x14ac:dyDescent="0.25">
      <c r="A84" t="s">
        <v>29</v>
      </c>
      <c r="B84" t="s">
        <v>20</v>
      </c>
      <c r="C84" t="s">
        <v>14</v>
      </c>
      <c r="D84" t="s">
        <v>27</v>
      </c>
      <c r="E84" t="s">
        <v>34</v>
      </c>
      <c r="F84" t="s">
        <v>23</v>
      </c>
      <c r="G84" s="3">
        <v>497.30055505241319</v>
      </c>
      <c r="H84" s="3">
        <v>28.753925725477899</v>
      </c>
      <c r="I84" s="5">
        <v>0.1022785919951907</v>
      </c>
      <c r="J84" s="5">
        <v>0.20758045581937271</v>
      </c>
      <c r="K84" s="2">
        <v>4.4611863311108841</v>
      </c>
      <c r="L84" s="2" t="s">
        <v>32</v>
      </c>
    </row>
    <row r="85" spans="1:12" x14ac:dyDescent="0.25">
      <c r="A85" t="s">
        <v>29</v>
      </c>
      <c r="B85" t="s">
        <v>13</v>
      </c>
      <c r="C85" t="s">
        <v>14</v>
      </c>
      <c r="D85" t="s">
        <v>27</v>
      </c>
      <c r="E85" t="s">
        <v>30</v>
      </c>
      <c r="F85" t="s">
        <v>17</v>
      </c>
      <c r="G85" s="3">
        <v>234.36279022031391</v>
      </c>
      <c r="H85" s="3">
        <v>66.27034434739339</v>
      </c>
      <c r="I85" s="5">
        <v>6.6910676761580606E-2</v>
      </c>
      <c r="J85" s="5">
        <v>0.24129314542756239</v>
      </c>
      <c r="K85" s="2">
        <v>1.5932351212896909</v>
      </c>
      <c r="L85" s="2" t="s">
        <v>45</v>
      </c>
    </row>
    <row r="86" spans="1:12" x14ac:dyDescent="0.25">
      <c r="A86" t="s">
        <v>29</v>
      </c>
      <c r="B86" t="s">
        <v>26</v>
      </c>
      <c r="C86" t="s">
        <v>41</v>
      </c>
      <c r="D86" t="s">
        <v>27</v>
      </c>
      <c r="E86" t="s">
        <v>16</v>
      </c>
      <c r="F86" t="s">
        <v>35</v>
      </c>
      <c r="G86" s="3">
        <v>647.69331599908207</v>
      </c>
      <c r="H86" s="3">
        <v>54.549198692082591</v>
      </c>
      <c r="I86" s="5">
        <v>6.037396307836497E-2</v>
      </c>
      <c r="J86" s="5">
        <v>0.11777796044335689</v>
      </c>
      <c r="K86" s="2">
        <v>5.7681308978786143</v>
      </c>
      <c r="L86" s="2" t="s">
        <v>32</v>
      </c>
    </row>
    <row r="87" spans="1:12" x14ac:dyDescent="0.25">
      <c r="A87" t="s">
        <v>29</v>
      </c>
      <c r="B87" t="s">
        <v>26</v>
      </c>
      <c r="C87" t="s">
        <v>33</v>
      </c>
      <c r="D87" t="s">
        <v>27</v>
      </c>
      <c r="E87" t="s">
        <v>30</v>
      </c>
      <c r="F87" t="s">
        <v>35</v>
      </c>
      <c r="G87" s="3">
        <v>260.75867518386588</v>
      </c>
      <c r="H87" s="3">
        <v>33.586353632965789</v>
      </c>
      <c r="I87" s="5">
        <v>4.878061793328551E-2</v>
      </c>
      <c r="J87" s="5">
        <v>0.24017117220989409</v>
      </c>
      <c r="K87" s="2">
        <v>5.4279598214684439</v>
      </c>
      <c r="L87" s="2" t="s">
        <v>24</v>
      </c>
    </row>
    <row r="88" spans="1:12" x14ac:dyDescent="0.25">
      <c r="A88" t="s">
        <v>29</v>
      </c>
      <c r="B88" t="s">
        <v>13</v>
      </c>
      <c r="C88" t="s">
        <v>41</v>
      </c>
      <c r="D88" t="s">
        <v>27</v>
      </c>
      <c r="E88" t="s">
        <v>30</v>
      </c>
      <c r="F88" t="s">
        <v>31</v>
      </c>
      <c r="G88" s="3">
        <v>683.08042354041481</v>
      </c>
      <c r="H88" s="3">
        <v>59.464752491470897</v>
      </c>
      <c r="I88" s="5">
        <v>9.2410745248220835E-2</v>
      </c>
      <c r="J88" s="5">
        <v>0.23417559757771589</v>
      </c>
      <c r="K88" s="2">
        <v>3.7068542315149471</v>
      </c>
      <c r="L88" s="2" t="s">
        <v>28</v>
      </c>
    </row>
    <row r="89" spans="1:12" x14ac:dyDescent="0.25">
      <c r="A89" t="s">
        <v>29</v>
      </c>
      <c r="B89" t="s">
        <v>26</v>
      </c>
      <c r="C89" t="s">
        <v>41</v>
      </c>
      <c r="D89" t="s">
        <v>27</v>
      </c>
      <c r="E89" t="s">
        <v>37</v>
      </c>
      <c r="F89" t="s">
        <v>23</v>
      </c>
      <c r="G89" s="3">
        <v>359.58938122452952</v>
      </c>
      <c r="H89" s="3">
        <v>54.281874882604079</v>
      </c>
      <c r="I89" s="5">
        <v>7.0531762152789432E-2</v>
      </c>
      <c r="J89" s="5">
        <v>6.7976679297935799E-2</v>
      </c>
      <c r="K89" s="2">
        <v>5.1547366152952367</v>
      </c>
      <c r="L89" s="2" t="s">
        <v>36</v>
      </c>
    </row>
    <row r="90" spans="1:12" x14ac:dyDescent="0.25">
      <c r="A90" t="s">
        <v>29</v>
      </c>
      <c r="B90" t="s">
        <v>26</v>
      </c>
      <c r="C90" t="s">
        <v>14</v>
      </c>
      <c r="D90" t="s">
        <v>27</v>
      </c>
      <c r="E90" t="s">
        <v>37</v>
      </c>
      <c r="F90" t="s">
        <v>35</v>
      </c>
      <c r="G90" s="3">
        <v>453.08257332497061</v>
      </c>
      <c r="H90" s="3">
        <v>27.140594043387541</v>
      </c>
      <c r="I90" s="5">
        <v>0.1314814420961806</v>
      </c>
      <c r="J90" s="5">
        <v>0.32378163119734621</v>
      </c>
      <c r="K90" s="2">
        <v>2.2344005380713279</v>
      </c>
      <c r="L90" s="2" t="s">
        <v>18</v>
      </c>
    </row>
    <row r="91" spans="1:12" x14ac:dyDescent="0.25">
      <c r="A91" t="s">
        <v>29</v>
      </c>
      <c r="B91" t="s">
        <v>26</v>
      </c>
      <c r="C91" t="s">
        <v>33</v>
      </c>
      <c r="D91" t="s">
        <v>15</v>
      </c>
      <c r="E91" t="s">
        <v>37</v>
      </c>
      <c r="F91" t="s">
        <v>35</v>
      </c>
      <c r="G91" s="3">
        <v>562.84946651905477</v>
      </c>
      <c r="H91" s="3">
        <v>26.626439247609358</v>
      </c>
      <c r="I91" s="5">
        <v>8.8159069662999565E-2</v>
      </c>
      <c r="J91" s="5">
        <v>0.1689733243406544</v>
      </c>
      <c r="K91" s="2">
        <v>5.231349268585717</v>
      </c>
      <c r="L91" s="2" t="s">
        <v>42</v>
      </c>
    </row>
    <row r="92" spans="1:12" x14ac:dyDescent="0.25">
      <c r="A92" t="s">
        <v>29</v>
      </c>
      <c r="B92" t="s">
        <v>13</v>
      </c>
      <c r="C92" t="s">
        <v>41</v>
      </c>
      <c r="D92" t="s">
        <v>15</v>
      </c>
      <c r="E92" t="s">
        <v>30</v>
      </c>
      <c r="F92" t="s">
        <v>31</v>
      </c>
      <c r="G92" s="3">
        <v>513.50564093758476</v>
      </c>
      <c r="H92" s="3">
        <v>78.05588621872198</v>
      </c>
      <c r="I92" s="5">
        <v>0.13431300951872571</v>
      </c>
      <c r="J92" s="5">
        <v>0.11817793167665271</v>
      </c>
      <c r="K92" s="2">
        <v>4.5020717030418531</v>
      </c>
      <c r="L92" s="2" t="s">
        <v>43</v>
      </c>
    </row>
    <row r="93" spans="1:12" x14ac:dyDescent="0.25">
      <c r="A93" t="s">
        <v>29</v>
      </c>
      <c r="B93" t="s">
        <v>20</v>
      </c>
      <c r="C93" t="s">
        <v>21</v>
      </c>
      <c r="D93" t="s">
        <v>15</v>
      </c>
      <c r="E93" t="s">
        <v>30</v>
      </c>
      <c r="F93" t="s">
        <v>31</v>
      </c>
      <c r="G93" s="3">
        <v>541.77271900095104</v>
      </c>
      <c r="H93" s="3">
        <v>34.334934153275263</v>
      </c>
      <c r="I93" s="5">
        <v>0</v>
      </c>
      <c r="J93" s="5">
        <v>0.11745028032074881</v>
      </c>
      <c r="K93" s="2">
        <v>8.2572310911425841</v>
      </c>
      <c r="L93" s="2" t="s">
        <v>28</v>
      </c>
    </row>
    <row r="94" spans="1:12" x14ac:dyDescent="0.25">
      <c r="A94" t="s">
        <v>29</v>
      </c>
      <c r="B94" t="s">
        <v>20</v>
      </c>
      <c r="C94" t="s">
        <v>14</v>
      </c>
      <c r="D94" t="s">
        <v>15</v>
      </c>
      <c r="E94" t="s">
        <v>16</v>
      </c>
      <c r="F94" t="s">
        <v>23</v>
      </c>
      <c r="G94" s="3">
        <v>476.8703435223519</v>
      </c>
      <c r="H94" s="3">
        <v>17.850335308775449</v>
      </c>
      <c r="I94" s="5">
        <v>0.12524936394902289</v>
      </c>
      <c r="J94" s="5">
        <v>0.2244966571108723</v>
      </c>
      <c r="K94" s="2">
        <v>1</v>
      </c>
      <c r="L94" s="2" t="s">
        <v>32</v>
      </c>
    </row>
    <row r="95" spans="1:12" x14ac:dyDescent="0.25">
      <c r="A95" t="s">
        <v>29</v>
      </c>
      <c r="B95" t="s">
        <v>20</v>
      </c>
      <c r="C95" t="s">
        <v>14</v>
      </c>
      <c r="D95" t="s">
        <v>15</v>
      </c>
      <c r="E95" t="s">
        <v>16</v>
      </c>
      <c r="F95" t="s">
        <v>35</v>
      </c>
      <c r="G95" s="3">
        <v>686.25602382323973</v>
      </c>
      <c r="H95" s="3">
        <v>35.712971639472642</v>
      </c>
      <c r="I95" s="5">
        <v>7.5788296356687435E-2</v>
      </c>
      <c r="J95" s="5">
        <v>9.9747063536219122E-2</v>
      </c>
      <c r="K95" s="2">
        <v>3.4142543354753121</v>
      </c>
      <c r="L95" s="2" t="s">
        <v>40</v>
      </c>
    </row>
    <row r="96" spans="1:12" x14ac:dyDescent="0.25">
      <c r="A96" t="s">
        <v>29</v>
      </c>
      <c r="B96" t="s">
        <v>20</v>
      </c>
      <c r="C96" t="s">
        <v>33</v>
      </c>
      <c r="D96" t="s">
        <v>15</v>
      </c>
      <c r="E96" t="s">
        <v>16</v>
      </c>
      <c r="F96" t="s">
        <v>35</v>
      </c>
      <c r="G96" s="3">
        <v>812.92873116280123</v>
      </c>
      <c r="H96" s="3">
        <v>56.823039496332868</v>
      </c>
      <c r="I96" s="5">
        <v>0.10051165305097939</v>
      </c>
      <c r="J96" s="5">
        <v>0.29592708260852069</v>
      </c>
      <c r="K96" s="2">
        <v>7.7337485348890489</v>
      </c>
      <c r="L96" s="2" t="s">
        <v>32</v>
      </c>
    </row>
    <row r="97" spans="1:12" x14ac:dyDescent="0.25">
      <c r="A97" t="s">
        <v>29</v>
      </c>
      <c r="B97" t="s">
        <v>20</v>
      </c>
      <c r="C97" t="s">
        <v>21</v>
      </c>
      <c r="D97" t="s">
        <v>15</v>
      </c>
      <c r="E97" t="s">
        <v>30</v>
      </c>
      <c r="F97" t="s">
        <v>23</v>
      </c>
      <c r="G97" s="3">
        <v>0</v>
      </c>
      <c r="H97" s="3">
        <v>55.533815986600381</v>
      </c>
      <c r="I97" s="5">
        <v>5.0924567447602459E-2</v>
      </c>
      <c r="J97" s="5">
        <v>0.41531824575115572</v>
      </c>
      <c r="K97" s="2">
        <v>8.2899354270025682</v>
      </c>
      <c r="L97" s="2" t="s">
        <v>42</v>
      </c>
    </row>
    <row r="98" spans="1:12" x14ac:dyDescent="0.25">
      <c r="A98" t="s">
        <v>29</v>
      </c>
      <c r="B98" t="s">
        <v>26</v>
      </c>
      <c r="C98" t="s">
        <v>41</v>
      </c>
      <c r="D98" t="s">
        <v>15</v>
      </c>
      <c r="E98" t="s">
        <v>34</v>
      </c>
      <c r="F98" t="s">
        <v>31</v>
      </c>
      <c r="G98" s="3">
        <v>421.57836937356848</v>
      </c>
      <c r="H98" s="3">
        <v>53.46361851702364</v>
      </c>
      <c r="I98" s="5">
        <v>0.1178507742982524</v>
      </c>
      <c r="J98" s="5">
        <v>0.31794401207212869</v>
      </c>
      <c r="K98" s="2">
        <v>8.046248154539315</v>
      </c>
      <c r="L98" s="2" t="s">
        <v>36</v>
      </c>
    </row>
    <row r="99" spans="1:12" x14ac:dyDescent="0.25">
      <c r="A99" t="s">
        <v>29</v>
      </c>
      <c r="B99" t="s">
        <v>20</v>
      </c>
      <c r="C99" t="s">
        <v>41</v>
      </c>
      <c r="D99" t="s">
        <v>39</v>
      </c>
      <c r="E99" t="s">
        <v>30</v>
      </c>
      <c r="F99" t="s">
        <v>31</v>
      </c>
      <c r="G99" s="3">
        <v>534.27365623799415</v>
      </c>
      <c r="H99" s="3">
        <v>76.142855085648563</v>
      </c>
      <c r="I99" s="5">
        <v>9.4263177926655062E-2</v>
      </c>
      <c r="J99" s="5">
        <v>0.22436872114919121</v>
      </c>
      <c r="K99" s="2">
        <v>4.9346105038118138</v>
      </c>
      <c r="L99" s="2" t="s">
        <v>18</v>
      </c>
    </row>
    <row r="100" spans="1:12" x14ac:dyDescent="0.25">
      <c r="A100" t="s">
        <v>29</v>
      </c>
      <c r="B100" t="s">
        <v>20</v>
      </c>
      <c r="C100" t="s">
        <v>33</v>
      </c>
      <c r="D100" t="s">
        <v>39</v>
      </c>
      <c r="E100" t="s">
        <v>37</v>
      </c>
      <c r="F100" t="s">
        <v>23</v>
      </c>
      <c r="G100" s="3">
        <v>356.03115832105829</v>
      </c>
      <c r="H100" s="3">
        <v>65.636457435546205</v>
      </c>
      <c r="I100" s="5">
        <v>8.3274938207952592E-2</v>
      </c>
      <c r="J100" s="5">
        <v>0.22320499373576361</v>
      </c>
      <c r="K100" s="2">
        <v>6.3393450976600771</v>
      </c>
      <c r="L100" s="2" t="s">
        <v>43</v>
      </c>
    </row>
    <row r="101" spans="1:12" x14ac:dyDescent="0.25">
      <c r="A101" t="s">
        <v>29</v>
      </c>
      <c r="B101" t="s">
        <v>13</v>
      </c>
      <c r="C101" t="s">
        <v>21</v>
      </c>
      <c r="D101" t="s">
        <v>39</v>
      </c>
      <c r="E101" t="s">
        <v>37</v>
      </c>
      <c r="F101" t="s">
        <v>23</v>
      </c>
      <c r="G101" s="3">
        <v>571.42251430234933</v>
      </c>
      <c r="H101" s="3">
        <v>32.856848871674337</v>
      </c>
      <c r="I101" s="5">
        <v>0.13310653372605241</v>
      </c>
      <c r="J101" s="5">
        <v>0.1400607354555978</v>
      </c>
      <c r="K101" s="2">
        <v>3.088919118799148</v>
      </c>
      <c r="L101" s="2" t="s">
        <v>38</v>
      </c>
    </row>
  </sheetData>
  <sortState xmlns:xlrd2="http://schemas.microsoft.com/office/spreadsheetml/2017/richdata2" ref="A2:L101">
    <sortCondition ref="A2:A101"/>
  </sortState>
  <dataValidations count="4">
    <dataValidation type="list" allowBlank="1" showInputMessage="1" showErrorMessage="1" sqref="F2" xr:uid="{2236B2E4-F579-46FE-A4C7-9646C30A48DA}">
      <formula1>$F$2:$F$101</formula1>
    </dataValidation>
    <dataValidation type="list" allowBlank="1" showInputMessage="1" showErrorMessage="1" sqref="E2:E79" xr:uid="{E534A71C-C0BC-4805-B6E2-D99E6FB515CE}">
      <formula1>$E$2:$E$101</formula1>
    </dataValidation>
    <dataValidation type="list" allowBlank="1" showInputMessage="1" showErrorMessage="1" sqref="C16" xr:uid="{4FF01D90-68FE-479A-A2F2-E87626793A16}">
      <formula1>$C$2:$C$101</formula1>
    </dataValidation>
    <dataValidation type="list" allowBlank="1" showInputMessage="1" showErrorMessage="1" sqref="L2:L101" xr:uid="{94910E7F-71AC-41E1-BE14-D33B402882DF}">
      <formula1>$L$2:$L$101</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85EB5-67F9-4F6B-A16E-AA853955016B}">
  <dimension ref="A4:Y28"/>
  <sheetViews>
    <sheetView topLeftCell="N1" zoomScale="70" zoomScaleNormal="70" workbookViewId="0">
      <selection activeCell="J15" sqref="J15"/>
    </sheetView>
  </sheetViews>
  <sheetFormatPr defaultRowHeight="15.75" x14ac:dyDescent="0.25"/>
  <cols>
    <col min="1" max="1" width="15.875" bestFit="1" customWidth="1"/>
    <col min="2" max="2" width="22.5" bestFit="1" customWidth="1"/>
    <col min="3" max="3" width="21.375" bestFit="1" customWidth="1"/>
    <col min="4" max="4" width="18.625" customWidth="1"/>
    <col min="5" max="5" width="18.75" bestFit="1" customWidth="1"/>
    <col min="6" max="6" width="21.375" bestFit="1" customWidth="1"/>
    <col min="7" max="7" width="22.125" bestFit="1" customWidth="1"/>
    <col min="9" max="9" width="25.875" bestFit="1" customWidth="1"/>
    <col min="10" max="10" width="16.375" bestFit="1" customWidth="1"/>
    <col min="11" max="11" width="9.375" bestFit="1" customWidth="1"/>
    <col min="12" max="12" width="10" bestFit="1" customWidth="1"/>
    <col min="13" max="13" width="10.125" customWidth="1"/>
    <col min="15" max="15" width="18.375" bestFit="1" customWidth="1"/>
    <col min="16" max="16" width="16.375" bestFit="1" customWidth="1"/>
    <col min="17" max="17" width="9.375" bestFit="1" customWidth="1"/>
    <col min="18" max="18" width="10" bestFit="1" customWidth="1"/>
    <col min="19" max="19" width="10.625" bestFit="1" customWidth="1"/>
    <col min="20" max="20" width="13.125" bestFit="1" customWidth="1"/>
    <col min="21" max="21" width="18.375" bestFit="1" customWidth="1"/>
    <col min="22" max="22" width="19.25" bestFit="1" customWidth="1"/>
    <col min="23" max="23" width="17.375" customWidth="1"/>
    <col min="24" max="24" width="13.125" bestFit="1" customWidth="1"/>
    <col min="25" max="25" width="18.375" bestFit="1" customWidth="1"/>
    <col min="26" max="26" width="27.625" customWidth="1"/>
    <col min="27" max="28" width="18.875" bestFit="1" customWidth="1"/>
    <col min="29" max="29" width="19.625" bestFit="1" customWidth="1"/>
    <col min="30" max="30" width="24.125" bestFit="1" customWidth="1"/>
    <col min="31" max="31" width="33.125" bestFit="1" customWidth="1"/>
    <col min="32" max="32" width="34.625" bestFit="1" customWidth="1"/>
  </cols>
  <sheetData>
    <row r="4" spans="1:25" x14ac:dyDescent="0.25">
      <c r="A4" s="14" t="s">
        <v>48</v>
      </c>
      <c r="B4" s="13" t="s">
        <v>54</v>
      </c>
      <c r="C4" s="13" t="s">
        <v>55</v>
      </c>
      <c r="E4" s="6" t="s">
        <v>48</v>
      </c>
      <c r="F4" t="s">
        <v>49</v>
      </c>
      <c r="G4" t="s">
        <v>50</v>
      </c>
      <c r="I4" s="6" t="s">
        <v>51</v>
      </c>
      <c r="J4" s="6" t="s">
        <v>46</v>
      </c>
      <c r="O4" s="10" t="s">
        <v>52</v>
      </c>
      <c r="P4" s="10" t="s">
        <v>46</v>
      </c>
      <c r="Q4" s="3"/>
      <c r="R4" s="3"/>
      <c r="S4" s="3"/>
      <c r="T4" s="10" t="s">
        <v>48</v>
      </c>
      <c r="U4" s="3" t="s">
        <v>52</v>
      </c>
      <c r="V4" s="3" t="s">
        <v>53</v>
      </c>
      <c r="X4" s="10" t="s">
        <v>48</v>
      </c>
      <c r="Y4" s="3" t="s">
        <v>52</v>
      </c>
    </row>
    <row r="5" spans="1:25" x14ac:dyDescent="0.25">
      <c r="A5" s="15" t="s">
        <v>25</v>
      </c>
      <c r="B5" s="5">
        <v>0.10376924367313188</v>
      </c>
      <c r="C5" s="5">
        <v>0.21020246627897304</v>
      </c>
      <c r="E5" s="7" t="s">
        <v>22</v>
      </c>
      <c r="F5" s="13"/>
      <c r="G5" s="13"/>
      <c r="I5" s="6" t="s">
        <v>48</v>
      </c>
      <c r="J5" t="s">
        <v>20</v>
      </c>
      <c r="K5" t="s">
        <v>13</v>
      </c>
      <c r="L5" t="s">
        <v>26</v>
      </c>
      <c r="O5" s="10" t="s">
        <v>48</v>
      </c>
      <c r="P5" s="3" t="s">
        <v>20</v>
      </c>
      <c r="Q5" s="3" t="s">
        <v>13</v>
      </c>
      <c r="R5" s="3" t="s">
        <v>26</v>
      </c>
      <c r="S5" s="3" t="s">
        <v>47</v>
      </c>
      <c r="T5" s="11" t="s">
        <v>22</v>
      </c>
      <c r="U5" s="3">
        <v>11513.562530759533</v>
      </c>
      <c r="V5" s="3">
        <v>1161.4200316244196</v>
      </c>
      <c r="X5" s="11" t="s">
        <v>45</v>
      </c>
      <c r="Y5" s="3">
        <v>4051.765040872428</v>
      </c>
    </row>
    <row r="6" spans="1:25" x14ac:dyDescent="0.25">
      <c r="A6" s="15" t="s">
        <v>44</v>
      </c>
      <c r="B6" s="5">
        <v>9.8868350761340443E-2</v>
      </c>
      <c r="C6" s="5">
        <v>0.23456791522027692</v>
      </c>
      <c r="E6" s="8" t="s">
        <v>44</v>
      </c>
      <c r="F6" s="3">
        <v>519.19396281159209</v>
      </c>
      <c r="G6" s="3">
        <v>51.476852640594437</v>
      </c>
      <c r="I6" s="7" t="s">
        <v>44</v>
      </c>
      <c r="J6" s="13">
        <v>5</v>
      </c>
      <c r="K6" s="13">
        <v>8</v>
      </c>
      <c r="L6" s="13">
        <v>7</v>
      </c>
      <c r="O6" s="11" t="s">
        <v>44</v>
      </c>
      <c r="P6" s="3">
        <v>1739.2726113310291</v>
      </c>
      <c r="Q6" s="3">
        <v>3579.8907301487206</v>
      </c>
      <c r="R6" s="3">
        <v>3497.5152059749394</v>
      </c>
      <c r="S6" s="3">
        <v>8816.6785474546887</v>
      </c>
      <c r="T6" s="11" t="s">
        <v>27</v>
      </c>
      <c r="U6" s="3">
        <v>12803.220166118563</v>
      </c>
      <c r="V6" s="3">
        <v>1496.6149332774798</v>
      </c>
      <c r="X6" s="11" t="s">
        <v>38</v>
      </c>
      <c r="Y6" s="3">
        <v>4268.7974215895993</v>
      </c>
    </row>
    <row r="7" spans="1:25" x14ac:dyDescent="0.25">
      <c r="A7" s="15" t="s">
        <v>12</v>
      </c>
      <c r="B7" s="5">
        <v>0.10225209806148733</v>
      </c>
      <c r="C7" s="5">
        <v>0.19676548631814592</v>
      </c>
      <c r="E7" s="8" t="s">
        <v>19</v>
      </c>
      <c r="F7" s="3">
        <v>567.03499684177189</v>
      </c>
      <c r="G7" s="3">
        <v>45.676182061842098</v>
      </c>
      <c r="I7" s="7" t="s">
        <v>19</v>
      </c>
      <c r="J7" s="13">
        <v>2</v>
      </c>
      <c r="K7" s="13">
        <v>7</v>
      </c>
      <c r="L7" s="13">
        <v>7</v>
      </c>
      <c r="O7" s="11" t="s">
        <v>19</v>
      </c>
      <c r="P7" s="3">
        <v>1031.5711951786782</v>
      </c>
      <c r="Q7" s="3">
        <v>3898.5685054131709</v>
      </c>
      <c r="R7" s="3">
        <v>3735.6798995761242</v>
      </c>
      <c r="S7" s="3">
        <v>8665.8196001679735</v>
      </c>
      <c r="T7" s="11" t="s">
        <v>15</v>
      </c>
      <c r="U7" s="3">
        <v>13905.519695897307</v>
      </c>
      <c r="V7" s="3">
        <v>1265.0069190395252</v>
      </c>
      <c r="X7" s="11" t="s">
        <v>43</v>
      </c>
      <c r="Y7" s="3">
        <v>4643.1696325257672</v>
      </c>
    </row>
    <row r="8" spans="1:25" x14ac:dyDescent="0.25">
      <c r="A8" s="15" t="s">
        <v>29</v>
      </c>
      <c r="B8" s="5">
        <v>9.2065258798867913E-2</v>
      </c>
      <c r="C8" s="5">
        <v>0.2098750522030508</v>
      </c>
      <c r="E8" s="8" t="s">
        <v>12</v>
      </c>
      <c r="F8" s="3">
        <v>518.84488527484564</v>
      </c>
      <c r="G8" s="3">
        <v>53.772721135712722</v>
      </c>
      <c r="I8" s="7" t="s">
        <v>12</v>
      </c>
      <c r="J8" s="13">
        <v>7</v>
      </c>
      <c r="K8" s="13">
        <v>8</v>
      </c>
      <c r="L8" s="13">
        <v>7</v>
      </c>
      <c r="O8" s="11" t="s">
        <v>12</v>
      </c>
      <c r="P8" s="3">
        <v>2938.2661007341721</v>
      </c>
      <c r="Q8" s="3">
        <v>4267.0185152822241</v>
      </c>
      <c r="R8" s="3">
        <v>3011.585284136494</v>
      </c>
      <c r="S8" s="3">
        <v>10216.869900152889</v>
      </c>
      <c r="T8" s="11" t="s">
        <v>39</v>
      </c>
      <c r="U8" s="3">
        <v>9724.7162801606773</v>
      </c>
      <c r="V8" s="3">
        <v>1121.5672901584228</v>
      </c>
      <c r="X8" s="11" t="s">
        <v>24</v>
      </c>
      <c r="Y8" s="3">
        <v>4034.4580976967236</v>
      </c>
    </row>
    <row r="9" spans="1:25" x14ac:dyDescent="0.25">
      <c r="A9" s="15" t="s">
        <v>19</v>
      </c>
      <c r="B9" s="5">
        <v>0.12948575044347371</v>
      </c>
      <c r="C9" s="5">
        <v>0.20247616975178911</v>
      </c>
      <c r="E9" s="8" t="s">
        <v>25</v>
      </c>
      <c r="F9" s="3">
        <v>422.0337209270707</v>
      </c>
      <c r="G9" s="3">
        <v>52.89406095725095</v>
      </c>
      <c r="I9" s="7" t="s">
        <v>25</v>
      </c>
      <c r="J9" s="13">
        <v>7</v>
      </c>
      <c r="K9" s="13">
        <v>3</v>
      </c>
      <c r="L9" s="13">
        <v>9</v>
      </c>
      <c r="O9" s="11" t="s">
        <v>25</v>
      </c>
      <c r="P9" s="3">
        <v>3365.6502725341002</v>
      </c>
      <c r="Q9" s="3">
        <v>1558.8771841524908</v>
      </c>
      <c r="R9" s="3">
        <v>4306.2100042676666</v>
      </c>
      <c r="S9" s="3">
        <v>9230.7374609542567</v>
      </c>
      <c r="T9" s="11" t="s">
        <v>47</v>
      </c>
      <c r="U9" s="3">
        <v>47947.018672936065</v>
      </c>
      <c r="V9" s="3">
        <v>5044.6091740998518</v>
      </c>
      <c r="X9" s="11" t="s">
        <v>40</v>
      </c>
      <c r="Y9" s="3">
        <v>5195.7888427388416</v>
      </c>
    </row>
    <row r="10" spans="1:25" x14ac:dyDescent="0.25">
      <c r="A10" s="15" t="s">
        <v>47</v>
      </c>
      <c r="B10" s="5">
        <v>0.10387801761838585</v>
      </c>
      <c r="C10" s="5">
        <v>0.21080790779404024</v>
      </c>
      <c r="E10" s="8" t="s">
        <v>29</v>
      </c>
      <c r="F10" s="3">
        <v>491.35194902674579</v>
      </c>
      <c r="G10" s="3">
        <v>42.807912664931898</v>
      </c>
      <c r="I10" s="7" t="s">
        <v>29</v>
      </c>
      <c r="J10" s="13">
        <v>10</v>
      </c>
      <c r="K10" s="13">
        <v>5</v>
      </c>
      <c r="L10" s="13">
        <v>8</v>
      </c>
      <c r="O10" s="11" t="s">
        <v>29</v>
      </c>
      <c r="P10" s="3">
        <v>4697.4189895783229</v>
      </c>
      <c r="Q10" s="3">
        <v>2409.6878304381703</v>
      </c>
      <c r="R10" s="3">
        <v>3909.8063441897689</v>
      </c>
      <c r="S10" s="3">
        <v>11016.91316420626</v>
      </c>
      <c r="T10" s="3"/>
      <c r="U10" s="3"/>
      <c r="V10" s="3"/>
      <c r="X10" s="11" t="s">
        <v>32</v>
      </c>
      <c r="Y10" s="3">
        <v>7210.761038644353</v>
      </c>
    </row>
    <row r="11" spans="1:25" x14ac:dyDescent="0.25">
      <c r="B11" s="12"/>
      <c r="C11" s="12"/>
      <c r="E11" s="7" t="s">
        <v>27</v>
      </c>
      <c r="F11" s="13"/>
      <c r="G11" s="13"/>
      <c r="O11" s="11" t="s">
        <v>47</v>
      </c>
      <c r="P11" s="3">
        <v>13772.179169356305</v>
      </c>
      <c r="Q11" s="3">
        <v>15714.042765434777</v>
      </c>
      <c r="R11" s="3">
        <v>18460.796738144993</v>
      </c>
      <c r="S11" s="3">
        <v>47947.018672936065</v>
      </c>
      <c r="X11" s="11" t="s">
        <v>36</v>
      </c>
      <c r="Y11" s="3">
        <v>6328.228802193702</v>
      </c>
    </row>
    <row r="12" spans="1:25" x14ac:dyDescent="0.25">
      <c r="E12" s="8" t="s">
        <v>44</v>
      </c>
      <c r="F12" s="3">
        <v>399.48976976025614</v>
      </c>
      <c r="G12" s="3">
        <v>63.605860113551216</v>
      </c>
      <c r="X12" s="11" t="s">
        <v>42</v>
      </c>
      <c r="Y12" s="3">
        <v>1961.6526196513037</v>
      </c>
    </row>
    <row r="13" spans="1:25" x14ac:dyDescent="0.25">
      <c r="E13" s="8" t="s">
        <v>19</v>
      </c>
      <c r="F13" s="3">
        <v>528.05432655984237</v>
      </c>
      <c r="G13" s="3">
        <v>44.58169679742484</v>
      </c>
      <c r="X13" s="11" t="s">
        <v>28</v>
      </c>
      <c r="Y13" s="3">
        <v>6459.7492617189573</v>
      </c>
    </row>
    <row r="14" spans="1:25" x14ac:dyDescent="0.25">
      <c r="E14" s="8" t="s">
        <v>12</v>
      </c>
      <c r="F14" s="3">
        <v>419.62195139603449</v>
      </c>
      <c r="G14" s="3">
        <v>38.215984525412651</v>
      </c>
      <c r="X14" s="11" t="s">
        <v>18</v>
      </c>
      <c r="Y14" s="3">
        <v>3792.6479153043965</v>
      </c>
    </row>
    <row r="15" spans="1:25" x14ac:dyDescent="0.25">
      <c r="E15" s="8" t="s">
        <v>25</v>
      </c>
      <c r="F15" s="3">
        <v>403.60719750147678</v>
      </c>
      <c r="G15" s="3">
        <v>62.222079765891358</v>
      </c>
      <c r="X15" s="11" t="s">
        <v>47</v>
      </c>
      <c r="Y15" s="3">
        <v>47947.018672936065</v>
      </c>
    </row>
    <row r="16" spans="1:25" x14ac:dyDescent="0.25">
      <c r="E16" s="8" t="s">
        <v>29</v>
      </c>
      <c r="F16" s="3">
        <v>451.7076326583412</v>
      </c>
      <c r="G16" s="3">
        <v>47.720081336177877</v>
      </c>
    </row>
    <row r="17" spans="5:7" x14ac:dyDescent="0.25">
      <c r="E17" s="7" t="s">
        <v>15</v>
      </c>
      <c r="F17" s="13"/>
      <c r="G17" s="13"/>
    </row>
    <row r="18" spans="5:7" x14ac:dyDescent="0.25">
      <c r="E18" s="8" t="s">
        <v>44</v>
      </c>
      <c r="F18" s="3">
        <v>384.4502791495442</v>
      </c>
      <c r="G18" s="3">
        <v>41.719389824964331</v>
      </c>
    </row>
    <row r="19" spans="5:7" x14ac:dyDescent="0.25">
      <c r="E19" s="8" t="s">
        <v>19</v>
      </c>
      <c r="F19" s="3">
        <v>467.90832515030013</v>
      </c>
      <c r="G19" s="3">
        <v>34.374500560804783</v>
      </c>
    </row>
    <row r="20" spans="5:7" x14ac:dyDescent="0.25">
      <c r="E20" s="8" t="s">
        <v>12</v>
      </c>
      <c r="F20" s="3">
        <v>469.25149155223983</v>
      </c>
      <c r="G20" s="3">
        <v>41.356824060435564</v>
      </c>
    </row>
    <row r="21" spans="5:7" x14ac:dyDescent="0.25">
      <c r="E21" s="8" t="s">
        <v>25</v>
      </c>
      <c r="F21" s="3">
        <v>560.8609947163477</v>
      </c>
      <c r="G21" s="3">
        <v>52.001236162755127</v>
      </c>
    </row>
    <row r="22" spans="5:7" x14ac:dyDescent="0.25">
      <c r="E22" s="8" t="s">
        <v>29</v>
      </c>
      <c r="F22" s="3">
        <v>501.97016179244395</v>
      </c>
      <c r="G22" s="3">
        <v>44.800130070976444</v>
      </c>
    </row>
    <row r="23" spans="5:7" x14ac:dyDescent="0.25">
      <c r="E23" s="7" t="s">
        <v>39</v>
      </c>
      <c r="F23" s="13"/>
      <c r="G23" s="13"/>
    </row>
    <row r="24" spans="5:7" x14ac:dyDescent="0.25">
      <c r="E24" s="8" t="s">
        <v>44</v>
      </c>
      <c r="F24" s="3">
        <v>465.7880822955305</v>
      </c>
      <c r="G24" s="3">
        <v>51.37671493474766</v>
      </c>
    </row>
    <row r="25" spans="5:7" x14ac:dyDescent="0.25">
      <c r="E25" s="8" t="s">
        <v>19</v>
      </c>
      <c r="F25" s="3">
        <v>613.20241906056162</v>
      </c>
      <c r="G25" s="3">
        <v>59.046331233405468</v>
      </c>
    </row>
    <row r="26" spans="5:7" x14ac:dyDescent="0.25">
      <c r="E26" s="8" t="s">
        <v>12</v>
      </c>
      <c r="F26" s="3">
        <v>439.86504645121141</v>
      </c>
      <c r="G26" s="3">
        <v>68.339959620879185</v>
      </c>
    </row>
    <row r="27" spans="5:7" x14ac:dyDescent="0.25">
      <c r="E27" s="8" t="s">
        <v>25</v>
      </c>
      <c r="F27" s="3">
        <v>666.87985150597842</v>
      </c>
      <c r="G27" s="3">
        <v>39.117970840767271</v>
      </c>
    </row>
    <row r="28" spans="5:7" x14ac:dyDescent="0.25">
      <c r="E28" s="8" t="s">
        <v>29</v>
      </c>
      <c r="F28" s="3">
        <v>487.24244295380055</v>
      </c>
      <c r="G28" s="3">
        <v>58.212053797623035</v>
      </c>
    </row>
  </sheetData>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DF5B6-06D1-4768-BE09-CBA0B35D0C31}">
  <dimension ref="B6:C11"/>
  <sheetViews>
    <sheetView showGridLines="0" showRowColHeaders="0" tabSelected="1" view="pageBreakPreview" topLeftCell="A7" zoomScale="80" zoomScaleNormal="60" zoomScaleSheetLayoutView="80" workbookViewId="0">
      <selection activeCell="F46" sqref="F46"/>
    </sheetView>
  </sheetViews>
  <sheetFormatPr defaultRowHeight="15.75" x14ac:dyDescent="0.25"/>
  <cols>
    <col min="1" max="1" width="15.5" bestFit="1" customWidth="1"/>
    <col min="2" max="2" width="12.25" customWidth="1"/>
    <col min="3" max="3" width="11.25" customWidth="1"/>
  </cols>
  <sheetData>
    <row r="6" spans="2:3" x14ac:dyDescent="0.25">
      <c r="B6" s="4"/>
      <c r="C6" s="4"/>
    </row>
    <row r="7" spans="2:3" x14ac:dyDescent="0.25">
      <c r="B7" s="5"/>
      <c r="C7" s="5"/>
    </row>
    <row r="8" spans="2:3" x14ac:dyDescent="0.25">
      <c r="B8" s="5"/>
      <c r="C8" s="5"/>
    </row>
    <row r="9" spans="2:3" x14ac:dyDescent="0.25">
      <c r="B9" s="5"/>
      <c r="C9" s="5"/>
    </row>
    <row r="10" spans="2:3" x14ac:dyDescent="0.25">
      <c r="B10" s="5"/>
      <c r="C10" s="5"/>
    </row>
    <row r="11" spans="2:3" x14ac:dyDescent="0.25">
      <c r="B11" s="5"/>
      <c r="C11" s="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DDB4B2C1-854C-4A82-8FD7-D0B2E80B1BC3}">
  <ds:schemaRefs/>
</ds:datastoreItem>
</file>

<file path=customXml/itemProps2.xml><?xml version="1.0" encoding="utf-8"?>
<ds:datastoreItem xmlns:ds="http://schemas.openxmlformats.org/officeDocument/2006/customXml" ds:itemID="{63EF4279-702C-4DC9-9911-0313BFDC35D4}">
  <ds:schemaRefs/>
</ds:datastoreItem>
</file>

<file path=customXml/itemProps3.xml><?xml version="1.0" encoding="utf-8"?>
<ds:datastoreItem xmlns:ds="http://schemas.openxmlformats.org/officeDocument/2006/customXml" ds:itemID="{B3A4037A-4A03-44E4-A909-D0E6DB48DA4E}">
  <ds:schemaRefs/>
</ds:datastoreItem>
</file>

<file path=customXml/itemProps4.xml><?xml version="1.0" encoding="utf-8"?>
<ds:datastoreItem xmlns:ds="http://schemas.openxmlformats.org/officeDocument/2006/customXml" ds:itemID="{D48CE7D2-10CA-4783-AEEF-9D94C50001D1}">
  <ds:schemaRefs/>
</ds:datastoreItem>
</file>

<file path=customXml/itemProps5.xml><?xml version="1.0" encoding="utf-8"?>
<ds:datastoreItem xmlns:ds="http://schemas.openxmlformats.org/officeDocument/2006/customXml" ds:itemID="{DF299150-16E7-44AA-A078-07E1555DB92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Project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FNU LNU</dc:creator>
  <cp:lastModifiedBy>Amit Bhatt</cp:lastModifiedBy>
  <cp:lastPrinted>2025-04-07T12:50:40Z</cp:lastPrinted>
  <dcterms:created xsi:type="dcterms:W3CDTF">2024-03-01T08:48:58Z</dcterms:created>
  <dcterms:modified xsi:type="dcterms:W3CDTF">2025-04-12T05:27:15Z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2024-03-01T09:00:16Z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6749fc5e-b298-4fac-bcf5-563971e1a344</vt:lpwstr>
  </property>
  <property fmtid="{D5CDD505-2E9C-101B-9397-08002B2CF9AE}" pid="7" name="MSIP_Label_defa4170-0d19-0005-0004-bc88714345d2_ActionId">
    <vt:lpwstr>692bb987-d685-464a-a91d-9d42e1a6f3bb</vt:lpwstr>
  </property>
  <property fmtid="{D5CDD505-2E9C-101B-9397-08002B2CF9AE}" pid="8" name="MSIP_Label_defa4170-0d19-0005-0004-bc88714345d2_ContentBits">
    <vt:lpwstr>0</vt:lpwstr>
  </property>
</Properties>
</file>