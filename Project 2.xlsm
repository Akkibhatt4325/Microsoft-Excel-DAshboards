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/>
  <workbookPr hidePivotFieldList="1"/>
  <mc:AlternateContent xmlns:mc="http://schemas.openxmlformats.org/markup-compatibility/2006">
    <mc:Choice Requires="x15">
      <x15ac:absPath xmlns:x15ac="http://schemas.microsoft.com/office/spreadsheetml/2010/11/ac" url="C:\Users\Amit Bhatt\Desktop\"/>
    </mc:Choice>
  </mc:AlternateContent>
  <xr:revisionPtr revIDLastSave="0" documentId="13_ncr:1_{CC17BD58-C059-4308-8863-1BCFF5D1ECEE}" xr6:coauthVersionLast="47" xr6:coauthVersionMax="47" xr10:uidLastSave="{00000000-0000-0000-0000-000000000000}"/>
  <bookViews>
    <workbookView xWindow="-120" yWindow="-120" windowWidth="20730" windowHeight="11160" activeTab="2" xr2:uid="{000D741B-048F-4E5D-87E1-43B4D344BFA1}"/>
  </bookViews>
  <sheets>
    <sheet name="Raw data" sheetId="1" r:id="rId1"/>
    <sheet name="Finding 1 " sheetId="2" r:id="rId2"/>
    <sheet name="Sheet3" sheetId="6" r:id="rId3"/>
  </sheets>
  <calcPr calcId="191029"/>
  <pivotCaches>
    <pivotCache cacheId="0" r:id="rId4"/>
    <pivotCache cacheId="1" r:id="rId5"/>
    <pivotCache cacheId="2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0" i="2" l="1"/>
  <c r="I110" i="2"/>
  <c r="F110" i="2"/>
  <c r="Q101" i="1"/>
  <c r="Q78" i="1"/>
  <c r="Q59" i="1"/>
  <c r="Q37" i="1"/>
  <c r="Q21" i="1"/>
</calcChain>
</file>

<file path=xl/sharedStrings.xml><?xml version="1.0" encoding="utf-8"?>
<sst xmlns="http://schemas.openxmlformats.org/spreadsheetml/2006/main" count="1084" uniqueCount="69">
  <si>
    <t>Product_Category</t>
  </si>
  <si>
    <t>Customer_Segment</t>
  </si>
  <si>
    <t>Payment_Method</t>
  </si>
  <si>
    <t>Region</t>
  </si>
  <si>
    <t>Sales_Channel</t>
  </si>
  <si>
    <t>Order_Status</t>
  </si>
  <si>
    <t>Sale_Amount</t>
  </si>
  <si>
    <t>Quantity_Sold</t>
  </si>
  <si>
    <t>Discount_Rate</t>
  </si>
  <si>
    <t>Profit_Margin</t>
  </si>
  <si>
    <t>Delivery_Days</t>
  </si>
  <si>
    <t>City</t>
  </si>
  <si>
    <t>Electronics</t>
  </si>
  <si>
    <t>Individual</t>
  </si>
  <si>
    <t>Credit Card</t>
  </si>
  <si>
    <t>South</t>
  </si>
  <si>
    <t>Online</t>
  </si>
  <si>
    <t>Cancelled</t>
  </si>
  <si>
    <t>San Jose</t>
  </si>
  <si>
    <t>Clothing</t>
  </si>
  <si>
    <t>Business</t>
  </si>
  <si>
    <t>Bank Transfer</t>
  </si>
  <si>
    <t>East</t>
  </si>
  <si>
    <t>Completed</t>
  </si>
  <si>
    <t>Los Angeles</t>
  </si>
  <si>
    <t>Home &amp; Kitchen</t>
  </si>
  <si>
    <t>Wholesale</t>
  </si>
  <si>
    <t>North</t>
  </si>
  <si>
    <t>San Diego</t>
  </si>
  <si>
    <t>Sports &amp; Outdoors</t>
  </si>
  <si>
    <t>Catalog</t>
  </si>
  <si>
    <t>Returned</t>
  </si>
  <si>
    <t>Philadelphia</t>
  </si>
  <si>
    <t>Cash</t>
  </si>
  <si>
    <t>Phone</t>
  </si>
  <si>
    <t>Pending</t>
  </si>
  <si>
    <t>Phoenix</t>
  </si>
  <si>
    <t>In-store</t>
  </si>
  <si>
    <t>Dallas</t>
  </si>
  <si>
    <t>West</t>
  </si>
  <si>
    <t>New York</t>
  </si>
  <si>
    <t>PayPal</t>
  </si>
  <si>
    <t>San Antonio</t>
  </si>
  <si>
    <t>Houston</t>
  </si>
  <si>
    <t>Beauty &amp; Health</t>
  </si>
  <si>
    <t>Chicago</t>
  </si>
  <si>
    <t>Find the average discount rate, and profit margin for each product category</t>
  </si>
  <si>
    <t>Total Price</t>
  </si>
  <si>
    <t>Sale Amount after Profit</t>
  </si>
  <si>
    <t>Question</t>
  </si>
  <si>
    <t>Sale Amount After Discount</t>
  </si>
  <si>
    <t xml:space="preserve">Quantity_Sold </t>
  </si>
  <si>
    <t xml:space="preserve">Sale_Amount </t>
  </si>
  <si>
    <t>Total Sales Amount with Discount</t>
  </si>
  <si>
    <t>Total Sales amount With Profit</t>
  </si>
  <si>
    <t xml:space="preserve">Amount After Discount </t>
  </si>
  <si>
    <t xml:space="preserve">Total Sales Amount with Discount </t>
  </si>
  <si>
    <t xml:space="preserve">Sale_Amount  </t>
  </si>
  <si>
    <t xml:space="preserve">Quantity_Sold  </t>
  </si>
  <si>
    <t>Stores</t>
  </si>
  <si>
    <t xml:space="preserve">Stores </t>
  </si>
  <si>
    <t>total Quantity</t>
  </si>
  <si>
    <t xml:space="preserve">Sale Amt after Profit </t>
  </si>
  <si>
    <t>Discount %</t>
  </si>
  <si>
    <t>Row Labels</t>
  </si>
  <si>
    <t>Sum of Discount %</t>
  </si>
  <si>
    <t>Profit %</t>
  </si>
  <si>
    <t>Sum of Profit %</t>
  </si>
  <si>
    <t xml:space="preserve">Total Sales With Profit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</si>
</sst>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theme="4" tint="0.39997558519241921"/>
      </top>
      <bottom/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0" borderId="0"/>
  </cellStyleXfs>
  <cellXfs count="45">
    <xf numFmtId="0" fontId="0" fillId="0" borderId="0" xfId="0"/>
    <xf numFmtId="0" fontId="3" fillId="0" borderId="0" xfId="2"/>
    <xf numFmtId="0" fontId="2" fillId="0" borderId="1" xfId="2" applyFont="1" applyBorder="1" applyAlignment="1">
      <alignment horizontal="center" vertical="top"/>
    </xf>
    <xf numFmtId="2" fontId="3" fillId="0" borderId="0" xfId="2" applyNumberFormat="1"/>
    <xf numFmtId="1" fontId="3" fillId="0" borderId="0" xfId="2" applyNumberFormat="1"/>
    <xf numFmtId="10" fontId="0" fillId="0" borderId="0" xfId="0" applyNumberFormat="1"/>
    <xf numFmtId="9" fontId="2" fillId="0" borderId="1" xfId="1" applyFont="1" applyBorder="1" applyAlignment="1">
      <alignment horizontal="center" vertical="top"/>
    </xf>
    <xf numFmtId="9" fontId="3" fillId="0" borderId="0" xfId="1" applyFont="1"/>
    <xf numFmtId="9" fontId="0" fillId="0" borderId="0" xfId="1" applyFont="1"/>
    <xf numFmtId="1" fontId="0" fillId="0" borderId="0" xfId="0" applyNumberFormat="1"/>
    <xf numFmtId="1" fontId="2" fillId="0" borderId="1" xfId="2" applyNumberFormat="1" applyFont="1" applyBorder="1" applyAlignment="1">
      <alignment horizontal="center" vertical="top"/>
    </xf>
    <xf numFmtId="0" fontId="4" fillId="2" borderId="0" xfId="2" applyFont="1" applyFill="1"/>
    <xf numFmtId="0" fontId="3" fillId="3" borderId="0" xfId="2" applyFill="1" applyAlignment="1">
      <alignment horizontal="left" vertical="center"/>
    </xf>
    <xf numFmtId="0" fontId="3" fillId="5" borderId="0" xfId="2" applyFill="1"/>
    <xf numFmtId="9" fontId="3" fillId="4" borderId="0" xfId="2" applyNumberFormat="1" applyFill="1"/>
    <xf numFmtId="9" fontId="3" fillId="0" borderId="0" xfId="2" applyNumberFormat="1"/>
    <xf numFmtId="0" fontId="3" fillId="4" borderId="0" xfId="2" applyFill="1" applyAlignment="1">
      <alignment horizontal="left" vertical="center"/>
    </xf>
    <xf numFmtId="0" fontId="0" fillId="0" borderId="0" xfId="0" pivotButton="1"/>
    <xf numFmtId="0" fontId="0" fillId="0" borderId="0" xfId="0" applyAlignment="1">
      <alignment horizontal="left"/>
    </xf>
    <xf numFmtId="9" fontId="0" fillId="6" borderId="10" xfId="1" applyFont="1" applyFill="1" applyBorder="1"/>
    <xf numFmtId="9" fontId="0" fillId="0" borderId="5" xfId="1" applyFont="1" applyBorder="1"/>
    <xf numFmtId="9" fontId="0" fillId="6" borderId="5" xfId="1" applyFont="1" applyFill="1" applyBorder="1"/>
    <xf numFmtId="9" fontId="0" fillId="6" borderId="3" xfId="1" applyFont="1" applyFill="1" applyBorder="1"/>
    <xf numFmtId="1" fontId="0" fillId="6" borderId="10" xfId="1" applyNumberFormat="1" applyFont="1" applyFill="1" applyBorder="1"/>
    <xf numFmtId="0" fontId="0" fillId="7" borderId="0" xfId="0" applyFill="1"/>
    <xf numFmtId="1" fontId="0" fillId="0" borderId="0" xfId="1" applyNumberFormat="1" applyFont="1"/>
    <xf numFmtId="9" fontId="0" fillId="0" borderId="0" xfId="0" applyNumberFormat="1"/>
    <xf numFmtId="0" fontId="0" fillId="6" borderId="9" xfId="0" applyFill="1" applyBorder="1"/>
    <xf numFmtId="1" fontId="0" fillId="6" borderId="10" xfId="0" applyNumberFormat="1" applyFill="1" applyBorder="1"/>
    <xf numFmtId="1" fontId="0" fillId="6" borderId="5" xfId="0" applyNumberFormat="1" applyFill="1" applyBorder="1"/>
    <xf numFmtId="1" fontId="0" fillId="6" borderId="11" xfId="0" applyNumberFormat="1" applyFill="1" applyBorder="1"/>
    <xf numFmtId="0" fontId="0" fillId="0" borderId="12" xfId="0" applyBorder="1"/>
    <xf numFmtId="1" fontId="0" fillId="0" borderId="5" xfId="0" applyNumberFormat="1" applyBorder="1"/>
    <xf numFmtId="1" fontId="0" fillId="0" borderId="11" xfId="0" applyNumberFormat="1" applyBorder="1"/>
    <xf numFmtId="0" fontId="0" fillId="6" borderId="12" xfId="0" applyFill="1" applyBorder="1"/>
    <xf numFmtId="0" fontId="0" fillId="6" borderId="2" xfId="0" applyFill="1" applyBorder="1"/>
    <xf numFmtId="1" fontId="0" fillId="6" borderId="3" xfId="0" applyNumberFormat="1" applyFill="1" applyBorder="1"/>
    <xf numFmtId="1" fontId="0" fillId="6" borderId="4" xfId="0" applyNumberFormat="1" applyFill="1" applyBorder="1"/>
    <xf numFmtId="0" fontId="2" fillId="8" borderId="1" xfId="0" applyFont="1" applyFill="1" applyBorder="1" applyAlignment="1">
      <alignment horizontal="center" vertical="top"/>
    </xf>
    <xf numFmtId="0" fontId="2" fillId="8" borderId="6" xfId="0" applyFont="1" applyFill="1" applyBorder="1" applyAlignment="1">
      <alignment horizontal="center" vertical="top"/>
    </xf>
    <xf numFmtId="10" fontId="2" fillId="8" borderId="6" xfId="0" applyNumberFormat="1" applyFont="1" applyFill="1" applyBorder="1" applyAlignment="1">
      <alignment horizontal="center" vertical="top"/>
    </xf>
    <xf numFmtId="0" fontId="2" fillId="8" borderId="7" xfId="0" applyFont="1" applyFill="1" applyBorder="1" applyAlignment="1">
      <alignment horizontal="center" vertical="top"/>
    </xf>
    <xf numFmtId="9" fontId="2" fillId="8" borderId="6" xfId="0" applyNumberFormat="1" applyFont="1" applyFill="1" applyBorder="1" applyAlignment="1">
      <alignment horizontal="center" vertical="top"/>
    </xf>
    <xf numFmtId="0" fontId="2" fillId="8" borderId="8" xfId="0" applyFont="1" applyFill="1" applyBorder="1" applyAlignment="1">
      <alignment horizontal="center" vertical="top"/>
    </xf>
    <xf numFmtId="1" fontId="0" fillId="8" borderId="0" xfId="0" applyNumberFormat="1" applyFill="1"/>
  </cellXfs>
  <cellStyles count="3">
    <cellStyle name="Normal" xfId="0" builtinId="0"/>
    <cellStyle name="Normal 2" xfId="2" xr:uid="{A897D0F8-175C-4A98-BD5A-43EDE1446FA4}"/>
    <cellStyle name="Percent" xfId="1" builtinId="5"/>
  </cellStyles>
  <dxfs count="16"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 style="thin">
          <color theme="4" tint="0.39997558519241921"/>
        </right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auto="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" formatCode="0"/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 style="thin">
          <color theme="4" tint="0.39997558519241921"/>
        </left>
        <right/>
        <top style="thin">
          <color theme="4" tint="0.39997558519241921"/>
        </top>
        <bottom/>
      </border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numFmt numFmtId="2" formatCode="0.00"/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color theme="1"/>
        <name val="Aptos Narrow"/>
        <family val="2"/>
        <scheme val="minor"/>
      </font>
      <fill>
        <patternFill>
          <fgColor indexed="64"/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3.xml"/><Relationship Id="rId5" Type="http://schemas.openxmlformats.org/officeDocument/2006/relationships/pivotCacheDefinition" Target="pivotCache/pivotCacheDefinition2.xml"/><Relationship Id="rId10" Type="http://schemas.openxmlformats.org/officeDocument/2006/relationships/calcChain" Target="calcChain.xml"/><Relationship Id="rId4" Type="http://schemas.openxmlformats.org/officeDocument/2006/relationships/pivotCacheDefinition" Target="pivotCache/pivotCacheDefinition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'Raw data'!$O$1</c:f>
              <c:strCache>
                <c:ptCount val="1"/>
                <c:pt idx="0">
                  <c:v>total Quantity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885-4663-B3ED-584531570E9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885-4663-B3ED-584531570E96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885-4663-B3ED-584531570E96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885-4663-B3ED-584531570E96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885-4663-B3ED-584531570E96}"/>
              </c:ext>
            </c:extLst>
          </c:dPt>
          <c:cat>
            <c:strRef>
              <c:f>'Raw data'!$N$2:$N$6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'Raw data'!$O$2:$O$6</c:f>
              <c:numCache>
                <c:formatCode>General</c:formatCode>
                <c:ptCount val="5"/>
                <c:pt idx="0">
                  <c:v>1031</c:v>
                </c:pt>
                <c:pt idx="1">
                  <c:v>734</c:v>
                </c:pt>
                <c:pt idx="2">
                  <c:v>1161</c:v>
                </c:pt>
                <c:pt idx="3">
                  <c:v>1028</c:v>
                </c:pt>
                <c:pt idx="4">
                  <c:v>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48-4802-B82B-83D352B2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 w="25400"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pivotSource>
    <c:name>[Project 2.xlsm]Sheet3!PivotTable5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5">
                  <a:satMod val="103000"/>
                  <a:lumMod val="102000"/>
                  <a:tint val="94000"/>
                </a:schemeClr>
              </a:gs>
              <a:gs pos="50000">
                <a:schemeClr val="accent5">
                  <a:satMod val="110000"/>
                  <a:lumMod val="100000"/>
                  <a:shade val="100000"/>
                </a:schemeClr>
              </a:gs>
              <a:gs pos="100000">
                <a:schemeClr val="accent5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34925" cap="rnd">
            <a:solidFill>
              <a:schemeClr val="accent5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Sheet3!$C$6</c:f>
              <c:strCache>
                <c:ptCount val="1"/>
                <c:pt idx="0">
                  <c:v>Quantity_Sold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Sheet3!$B$7:$B$11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Sheet3!$C$7:$C$11</c:f>
              <c:numCache>
                <c:formatCode>0</c:formatCode>
                <c:ptCount val="5"/>
                <c:pt idx="0">
                  <c:v>1031.3369001653516</c:v>
                </c:pt>
                <c:pt idx="1">
                  <c:v>733.62035734949154</c:v>
                </c:pt>
                <c:pt idx="2">
                  <c:v>1160.6641025642589</c:v>
                </c:pt>
                <c:pt idx="3">
                  <c:v>1028.046142039668</c:v>
                </c:pt>
                <c:pt idx="4">
                  <c:v>1035.4078559944769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33-483F-8C63-E1B30AA95D92}"/>
            </c:ext>
          </c:extLst>
        </c:ser>
        <c:ser>
          <c:idx val="1"/>
          <c:order val="1"/>
          <c:tx>
            <c:strRef>
              <c:f>Sheet3!$D$6</c:f>
              <c:strCache>
                <c:ptCount val="1"/>
                <c:pt idx="0">
                  <c:v>Sale_Amount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Sheet3!$B$7:$B$11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Sheet3!$D$7:$D$11</c:f>
              <c:numCache>
                <c:formatCode>0</c:formatCode>
                <c:ptCount val="5"/>
                <c:pt idx="0">
                  <c:v>8816.6785474546887</c:v>
                </c:pt>
                <c:pt idx="1">
                  <c:v>8665.8196001679735</c:v>
                </c:pt>
                <c:pt idx="2">
                  <c:v>10216.869900152891</c:v>
                </c:pt>
                <c:pt idx="3">
                  <c:v>9230.7374609542567</c:v>
                </c:pt>
                <c:pt idx="4">
                  <c:v>11016.913164206262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33-483F-8C63-E1B30AA95D92}"/>
            </c:ext>
          </c:extLst>
        </c:ser>
        <c:ser>
          <c:idx val="2"/>
          <c:order val="2"/>
          <c:tx>
            <c:strRef>
              <c:f>Sheet3!$E$6</c:f>
              <c:strCache>
                <c:ptCount val="1"/>
                <c:pt idx="0">
                  <c:v>Amount After Discount 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Sheet3!$B$7:$B$11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Sheet3!$E$7:$E$11</c:f>
              <c:numCache>
                <c:formatCode>0</c:formatCode>
                <c:ptCount val="5"/>
                <c:pt idx="0">
                  <c:v>7935.0106927092193</c:v>
                </c:pt>
                <c:pt idx="1">
                  <c:v>7556.2547631475391</c:v>
                </c:pt>
                <c:pt idx="2">
                  <c:v>9195.1829101375988</c:v>
                </c:pt>
                <c:pt idx="3">
                  <c:v>8307.6637148588306</c:v>
                </c:pt>
                <c:pt idx="4">
                  <c:v>10025.390979427699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33-483F-8C63-E1B30AA95D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47"/>
        <c:axId val="543445632"/>
        <c:axId val="543473472"/>
      </c:barChart>
      <c:lineChart>
        <c:grouping val="standard"/>
        <c:varyColors val="0"/>
        <c:ser>
          <c:idx val="3"/>
          <c:order val="3"/>
          <c:tx>
            <c:strRef>
              <c:f>Sheet3!$F$6</c:f>
              <c:strCache>
                <c:ptCount val="1"/>
                <c:pt idx="0">
                  <c:v>Total Sales Amount with Discount </c:v>
                </c:pt>
              </c:strCache>
            </c:strRef>
          </c:tx>
          <c:spPr>
            <a:ln w="34925" cap="rnd">
              <a:solidFill>
                <a:schemeClr val="accent5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Sheet3!$B$7:$B$11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Sheet3!$F$7:$F$11</c:f>
              <c:numCache>
                <c:formatCode>0</c:formatCode>
                <c:ptCount val="5"/>
                <c:pt idx="0">
                  <c:v>405022.37597300985</c:v>
                </c:pt>
                <c:pt idx="1">
                  <c:v>353402.67242755881</c:v>
                </c:pt>
                <c:pt idx="2">
                  <c:v>464150.59652291215</c:v>
                </c:pt>
                <c:pt idx="3">
                  <c:v>433394.97981518687</c:v>
                </c:pt>
                <c:pt idx="4">
                  <c:v>472725.19611495326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E7-4DD8-A3BA-398B4E683B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639407"/>
        <c:axId val="1764639887"/>
      </c:lineChart>
      <c:valAx>
        <c:axId val="176463988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39407"/>
        <c:crosses val="max"/>
        <c:crossBetween val="between"/>
      </c:valAx>
      <c:catAx>
        <c:axId val="176463940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39887"/>
        <c:crosses val="autoZero"/>
        <c:auto val="1"/>
        <c:lblAlgn val="ctr"/>
        <c:lblOffset val="100"/>
        <c:noMultiLvlLbl val="0"/>
      </c:catAx>
      <c:valAx>
        <c:axId val="543473472"/>
        <c:scaling>
          <c:orientation val="minMax"/>
        </c:scaling>
        <c:delete val="0"/>
        <c:axPos val="l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3445632"/>
        <c:crosses val="autoZero"/>
        <c:crossBetween val="between"/>
      </c:valAx>
      <c:catAx>
        <c:axId val="54344563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4347347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39700">
        <a:schemeClr val="accent3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pivotSource>
    <c:name>[Project 2.xlsm]Sheet3!PivotTable6</c:name>
    <c:fmtId val="3"/>
  </c:pivotSource>
  <c:chart>
    <c:autoTitleDeleted val="0"/>
    <c:pivotFmts>
      <c:pivotFmt>
        <c:idx val="0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2">
                  <a:satMod val="103000"/>
                  <a:lumMod val="102000"/>
                  <a:tint val="94000"/>
                </a:schemeClr>
              </a:gs>
              <a:gs pos="50000">
                <a:schemeClr val="accent2">
                  <a:satMod val="110000"/>
                  <a:lumMod val="100000"/>
                  <a:shade val="100000"/>
                </a:schemeClr>
              </a:gs>
              <a:gs pos="100000">
                <a:schemeClr val="accent2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34925" cap="rnd">
            <a:solidFill>
              <a:schemeClr val="accent2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2">
                    <a:tint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2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3229532190829088"/>
          <c:y val="5.740377163735938E-2"/>
          <c:w val="0.4166625289485873"/>
          <c:h val="0.5964157364406702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Sheet3!$I$27</c:f>
              <c:strCache>
                <c:ptCount val="1"/>
                <c:pt idx="0">
                  <c:v>Quantity_Sold 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58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58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58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Sheet3!$H$28:$H$32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Sheet3!$I$28:$I$32</c:f>
              <c:numCache>
                <c:formatCode>0</c:formatCode>
                <c:ptCount val="5"/>
                <c:pt idx="0">
                  <c:v>1031.3369001653516</c:v>
                </c:pt>
                <c:pt idx="1">
                  <c:v>733.62035734949154</c:v>
                </c:pt>
                <c:pt idx="2">
                  <c:v>1160.6641025642589</c:v>
                </c:pt>
                <c:pt idx="3">
                  <c:v>1028.046142039668</c:v>
                </c:pt>
                <c:pt idx="4">
                  <c:v>1035.4078559944769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E3-48E1-BE24-15BA1302FF89}"/>
            </c:ext>
          </c:extLst>
        </c:ser>
        <c:ser>
          <c:idx val="1"/>
          <c:order val="1"/>
          <c:tx>
            <c:strRef>
              <c:f>Sheet3!$J$27</c:f>
              <c:strCache>
                <c:ptCount val="1"/>
                <c:pt idx="0">
                  <c:v>Sale_Amount 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hade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hade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shade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Sheet3!$H$28:$H$32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Sheet3!$J$28:$J$32</c:f>
              <c:numCache>
                <c:formatCode>0</c:formatCode>
                <c:ptCount val="5"/>
                <c:pt idx="0">
                  <c:v>8816.6785474546887</c:v>
                </c:pt>
                <c:pt idx="1">
                  <c:v>8665.8196001679735</c:v>
                </c:pt>
                <c:pt idx="2">
                  <c:v>10216.869900152891</c:v>
                </c:pt>
                <c:pt idx="3">
                  <c:v>9230.7374609542567</c:v>
                </c:pt>
                <c:pt idx="4">
                  <c:v>11016.913164206262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8E3-48E1-BE24-15BA1302FF89}"/>
            </c:ext>
          </c:extLst>
        </c:ser>
        <c:ser>
          <c:idx val="2"/>
          <c:order val="2"/>
          <c:tx>
            <c:strRef>
              <c:f>Sheet3!$K$27</c:f>
              <c:strCache>
                <c:ptCount val="1"/>
                <c:pt idx="0">
                  <c:v>Sale Amt after Profit 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tint val="86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tint val="86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tint val="86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Sheet3!$H$28:$H$32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Sheet3!$K$28:$K$32</c:f>
              <c:numCache>
                <c:formatCode>0</c:formatCode>
                <c:ptCount val="5"/>
                <c:pt idx="0">
                  <c:v>10844.514613369265</c:v>
                </c:pt>
                <c:pt idx="1">
                  <c:v>10398.983520201567</c:v>
                </c:pt>
                <c:pt idx="2">
                  <c:v>12260.243880183469</c:v>
                </c:pt>
                <c:pt idx="3">
                  <c:v>11169.19232775465</c:v>
                </c:pt>
                <c:pt idx="4">
                  <c:v>13330.464928689576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8E3-48E1-BE24-15BA1302F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925169839"/>
        <c:axId val="1925159279"/>
      </c:barChart>
      <c:lineChart>
        <c:grouping val="standard"/>
        <c:varyColors val="0"/>
        <c:ser>
          <c:idx val="3"/>
          <c:order val="3"/>
          <c:tx>
            <c:strRef>
              <c:f>Sheet3!$L$27</c:f>
              <c:strCache>
                <c:ptCount val="1"/>
                <c:pt idx="0">
                  <c:v>Total Sales With Profit </c:v>
                </c:pt>
              </c:strCache>
            </c:strRef>
          </c:tx>
          <c:spPr>
            <a:ln w="34925" cap="rnd">
              <a:solidFill>
                <a:schemeClr val="accent2">
                  <a:tint val="5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tint val="58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tint val="58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tint val="58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>
                    <a:tint val="58000"/>
                  </a:schemeClr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Sheet3!$H$28:$H$32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Sheet3!$L$28:$L$32</c:f>
              <c:numCache>
                <c:formatCode>0</c:formatCode>
                <c:ptCount val="5"/>
                <c:pt idx="0">
                  <c:v>553530.58049644693</c:v>
                </c:pt>
                <c:pt idx="1">
                  <c:v>486355.83126349666</c:v>
                </c:pt>
                <c:pt idx="2">
                  <c:v>618867.46203054965</c:v>
                </c:pt>
                <c:pt idx="3">
                  <c:v>582675.47286264016</c:v>
                </c:pt>
                <c:pt idx="4">
                  <c:v>628568.66736164107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8E3-48E1-BE24-15BA1302FF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7960815"/>
        <c:axId val="1767964175"/>
      </c:lineChart>
      <c:catAx>
        <c:axId val="176796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64175"/>
        <c:crosses val="autoZero"/>
        <c:auto val="1"/>
        <c:lblAlgn val="ctr"/>
        <c:lblOffset val="100"/>
        <c:noMultiLvlLbl val="0"/>
      </c:catAx>
      <c:valAx>
        <c:axId val="1767964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7960815"/>
        <c:crosses val="autoZero"/>
        <c:crossBetween val="between"/>
      </c:valAx>
      <c:valAx>
        <c:axId val="1925159279"/>
        <c:scaling>
          <c:orientation val="minMax"/>
        </c:scaling>
        <c:delete val="0"/>
        <c:axPos val="r"/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5169839"/>
        <c:crosses val="max"/>
        <c:crossBetween val="between"/>
      </c:valAx>
      <c:catAx>
        <c:axId val="1925169839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92515927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01600">
        <a:schemeClr val="bg2">
          <a:lumMod val="75000"/>
          <a:alpha val="60000"/>
        </a:schemeClr>
      </a:glow>
      <a:softEdge rad="63500"/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2.9738471406915302E-2"/>
          <c:y val="0.1320305795108945"/>
          <c:w val="0.93888888888888888"/>
          <c:h val="0.6714577865266842"/>
        </c:manualLayout>
      </c:layout>
      <c:pie3DChart>
        <c:varyColors val="1"/>
        <c:ser>
          <c:idx val="0"/>
          <c:order val="0"/>
          <c:tx>
            <c:strRef>
              <c:f>'Raw data'!$O$1</c:f>
              <c:strCache>
                <c:ptCount val="1"/>
                <c:pt idx="0">
                  <c:v>total Quantity</c:v>
                </c:pt>
              </c:strCache>
            </c:strRef>
          </c:tx>
          <c:explosion val="7"/>
          <c:dPt>
            <c:idx val="0"/>
            <c:bubble3D val="0"/>
            <c:explosion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C547-4D68-BB5C-B4B30F689E4C}"/>
              </c:ext>
            </c:extLst>
          </c:dPt>
          <c:dPt>
            <c:idx val="1"/>
            <c:bubble3D val="0"/>
            <c:explosion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C547-4D68-BB5C-B4B30F689E4C}"/>
              </c:ext>
            </c:extLst>
          </c:dPt>
          <c:dPt>
            <c:idx val="2"/>
            <c:bubble3D val="0"/>
            <c:explosion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C547-4D68-BB5C-B4B30F689E4C}"/>
              </c:ext>
            </c:extLst>
          </c:dPt>
          <c:dPt>
            <c:idx val="3"/>
            <c:bubble3D val="0"/>
            <c:explosion val="0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C547-4D68-BB5C-B4B30F689E4C}"/>
              </c:ext>
            </c:extLst>
          </c:dPt>
          <c:dPt>
            <c:idx val="4"/>
            <c:bubble3D val="0"/>
            <c:explosion val="0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C547-4D68-BB5C-B4B30F689E4C}"/>
              </c:ext>
            </c:extLst>
          </c:dPt>
          <c:dLbls>
            <c:dLbl>
              <c:idx val="1"/>
              <c:layout>
                <c:manualLayout>
                  <c:x val="-7.6325459317585305E-4"/>
                  <c:y val="1.9136902424504089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C547-4D68-BB5C-B4B30F689E4C}"/>
                </c:ext>
              </c:extLst>
            </c:dLbl>
            <c:dLbl>
              <c:idx val="2"/>
              <c:layout>
                <c:manualLayout>
                  <c:x val="-0.15567331583552055"/>
                  <c:y val="-6.1373349865368625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547-4D68-BB5C-B4B30F689E4C}"/>
                </c:ext>
              </c:extLst>
            </c:dLbl>
            <c:dLbl>
              <c:idx val="3"/>
              <c:layout>
                <c:manualLayout>
                  <c:x val="7.7445319335083115E-4"/>
                  <c:y val="2.0063879198405177E-2"/>
                </c:manualLayout>
              </c:layout>
              <c:dLblPos val="bestFit"/>
              <c:showLegendKey val="1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C547-4D68-BB5C-B4B30F689E4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1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'Raw data'!$N$2:$N$6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'Raw data'!$O$2:$O$6</c:f>
              <c:numCache>
                <c:formatCode>General</c:formatCode>
                <c:ptCount val="5"/>
                <c:pt idx="0">
                  <c:v>1031</c:v>
                </c:pt>
                <c:pt idx="1">
                  <c:v>734</c:v>
                </c:pt>
                <c:pt idx="2">
                  <c:v>1161</c:v>
                </c:pt>
                <c:pt idx="3">
                  <c:v>1028</c:v>
                </c:pt>
                <c:pt idx="4">
                  <c:v>1091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547-4D68-BB5C-B4B30F689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>
          <a:glow rad="228600">
            <a:schemeClr val="accent3">
              <a:satMod val="175000"/>
              <a:alpha val="40000"/>
            </a:schemeClr>
          </a:glow>
        </a:effectLst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39700">
        <a:schemeClr val="accent6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2.xlsm]Sheet3!PivotTable4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Discount</a:t>
            </a:r>
            <a:r>
              <a:rPr lang="en-US" baseline="0"/>
              <a:t> % On Each Product</a:t>
            </a:r>
          </a:p>
        </c:rich>
      </c:tx>
      <c:layout>
        <c:manualLayout>
          <c:xMode val="edge"/>
          <c:yMode val="edge"/>
          <c:x val="0.12568981508890337"/>
          <c:y val="5.117489346089802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Sheet3!$C$27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Sheet3!$B$28:$B$32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Sheet3!$C$28:$C$32</c:f>
              <c:numCache>
                <c:formatCode>0%</c:formatCode>
                <c:ptCount val="5"/>
                <c:pt idx="0">
                  <c:v>0.1</c:v>
                </c:pt>
                <c:pt idx="1">
                  <c:v>0.13</c:v>
                </c:pt>
                <c:pt idx="2">
                  <c:v>0.1</c:v>
                </c:pt>
                <c:pt idx="3">
                  <c:v>0.1</c:v>
                </c:pt>
                <c:pt idx="4">
                  <c:v>0.09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65-4C8F-B671-32AF5B4C3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137808"/>
        <c:axId val="399160848"/>
      </c:lineChart>
      <c:catAx>
        <c:axId val="399137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60848"/>
        <c:crosses val="autoZero"/>
        <c:auto val="1"/>
        <c:lblAlgn val="ctr"/>
        <c:lblOffset val="100"/>
        <c:noMultiLvlLbl val="0"/>
      </c:catAx>
      <c:valAx>
        <c:axId val="39916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9137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>
      <a:glow rad="139700">
        <a:schemeClr val="accent3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 2.xlsm]Sheet3!PivotTable7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r>
              <a:rPr lang="en-US"/>
              <a:t>Profit % On Each Product</a:t>
            </a:r>
          </a:p>
        </c:rich>
      </c:tx>
      <c:layout>
        <c:manualLayout>
          <c:xMode val="edge"/>
          <c:yMode val="edge"/>
          <c:x val="0.22542805100182145"/>
          <c:y val="4.41988693906008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effectLst/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>
            <a:gsLst>
              <a:gs pos="0">
                <a:schemeClr val="accent1"/>
              </a:gs>
              <a:gs pos="100000">
                <a:schemeClr val="accent1">
                  <a:lumMod val="84000"/>
                </a:schemeClr>
              </a:gs>
            </a:gsLst>
            <a:lin ang="5400000" scaled="1"/>
          </a:gradFill>
          <a:ln>
            <a:noFill/>
          </a:ln>
          <a:effectLst>
            <a:outerShdw blurRad="76200" dir="18900000" sy="23000" kx="-1200000" algn="bl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Sheet3!$F$27</c:f>
              <c:strCache>
                <c:ptCount val="1"/>
                <c:pt idx="0">
                  <c:v>Total</c:v>
                </c:pt>
              </c:strCache>
            </c:strRef>
          </c:tx>
          <c:spPr>
            <a:gradFill>
              <a:gsLst>
                <a:gs pos="0">
                  <a:schemeClr val="accent1"/>
                </a:gs>
                <a:gs pos="100000">
                  <a:schemeClr val="accent1">
                    <a:lumMod val="84000"/>
                  </a:schemeClr>
                </a:gs>
              </a:gsLst>
              <a:lin ang="5400000" scaled="1"/>
            </a:gradFill>
            <a:ln>
              <a:noFill/>
            </a:ln>
            <a:effectLst>
              <a:outerShdw blurRad="76200" dir="18900000" sy="23000" kx="-1200000" algn="bl" rotWithShape="0">
                <a:prstClr val="black">
                  <a:alpha val="20000"/>
                </a:prst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Sheet3!$E$28:$E$32</c:f>
              <c:strCache>
                <c:ptCount val="5"/>
                <c:pt idx="0">
                  <c:v>Beauty &amp; Health</c:v>
                </c:pt>
                <c:pt idx="1">
                  <c:v>Clothing</c:v>
                </c:pt>
                <c:pt idx="2">
                  <c:v>Electronics</c:v>
                </c:pt>
                <c:pt idx="3">
                  <c:v>Home &amp; Kitchen</c:v>
                </c:pt>
                <c:pt idx="4">
                  <c:v>Sports &amp; Outdoors</c:v>
                </c:pt>
              </c:strCache>
            </c:strRef>
          </c:cat>
          <c:val>
            <c:numRef>
              <c:f>Sheet3!$F$28:$F$32</c:f>
              <c:numCache>
                <c:formatCode>0%</c:formatCode>
                <c:ptCount val="5"/>
                <c:pt idx="0">
                  <c:v>0.23</c:v>
                </c:pt>
                <c:pt idx="1">
                  <c:v>0.2</c:v>
                </c:pt>
                <c:pt idx="2">
                  <c:v>0.2</c:v>
                </c:pt>
                <c:pt idx="3">
                  <c:v>0.21</c:v>
                </c:pt>
                <c:pt idx="4">
                  <c:v>0.21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69-4CD3-A331-A3777DE4FD3E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41"/>
        <c:axId val="622648016"/>
        <c:axId val="622636016"/>
      </c:barChart>
      <c:catAx>
        <c:axId val="622648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effectLst/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636016"/>
        <c:crosses val="autoZero"/>
        <c:auto val="1"/>
        <c:lblAlgn val="ctr"/>
        <c:lblOffset val="100"/>
        <c:noMultiLvlLbl val="0"/>
      </c:catAx>
      <c:valAx>
        <c:axId val="622636016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62264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68000">
          <a:schemeClr val="lt1">
            <a:lumMod val="85000"/>
          </a:schemeClr>
        </a:gs>
        <a:gs pos="100000">
          <a:schemeClr val="lt1"/>
        </a:gs>
      </a:gsLst>
      <a:lin ang="5400000" scaled="1"/>
      <a:tileRect/>
    </a:gradFill>
    <a:ln w="9525" cap="flat" cmpd="sng" algn="ctr">
      <a:solidFill>
        <a:schemeClr val="dk1">
          <a:lumMod val="15000"/>
          <a:lumOff val="85000"/>
        </a:schemeClr>
      </a:solidFill>
      <a:round/>
    </a:ln>
    <a:effectLst>
      <a:glow rad="139700">
        <a:schemeClr val="accent6">
          <a:satMod val="175000"/>
          <a:alpha val="40000"/>
        </a:schemeClr>
      </a:glow>
    </a:effectLst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3.xml><?xml version="1.0" encoding="utf-8"?>
<cs:colorStyle xmlns:cs="http://schemas.microsoft.com/office/drawing/2012/chartStyle" xmlns:a="http://schemas.openxmlformats.org/drawingml/2006/main" meth="withinLinear" id="15">
  <a:schemeClr val="accent2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6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>
      <a:effectLst/>
    </cs:defRPr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68000">
            <a:schemeClr val="lt1">
              <a:lumMod val="85000"/>
            </a:schemeClr>
          </a:gs>
          <a:gs pos="100000">
            <a:schemeClr val="lt1"/>
          </a:gs>
        </a:gsLst>
        <a:lin ang="5400000" scaled="1"/>
        <a:tileRect/>
      </a:gra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spPr/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gradFill>
          <a:gsLst>
            <a:gs pos="0">
              <a:schemeClr val="phClr"/>
            </a:gs>
            <a:gs pos="100000">
              <a:schemeClr val="phClr">
                <a:lumMod val="84000"/>
              </a:schemeClr>
            </a:gs>
          </a:gsLst>
          <a:lin ang="5400000" scaled="1"/>
        </a:gra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gradFill>
        <a:gsLst>
          <a:gs pos="0">
            <a:schemeClr val="phClr"/>
          </a:gs>
          <a:gs pos="100000">
            <a:schemeClr val="phClr">
              <a:lumMod val="84000"/>
            </a:schemeClr>
          </a:gs>
        </a:gsLst>
        <a:lin ang="5400000" scaled="1"/>
      </a:gradFill>
      <a:effectLst>
        <a:outerShdw blurRad="76200" dir="18900000" sy="23000" kx="-1200000" algn="bl" rotWithShape="0">
          <a:prstClr val="black">
            <a:alpha val="20000"/>
          </a:prstClr>
        </a:outerShdw>
      </a:effectLst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kern="1200">
      <a:effectLst/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dk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19</xdr:row>
      <xdr:rowOff>104774</xdr:rowOff>
    </xdr:from>
    <xdr:to>
      <xdr:col>9</xdr:col>
      <xdr:colOff>647700</xdr:colOff>
      <xdr:row>19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71078FF-189A-74A7-6EB3-0971220027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123824</xdr:colOff>
      <xdr:row>12</xdr:row>
      <xdr:rowOff>90487</xdr:rowOff>
    </xdr:from>
    <xdr:to>
      <xdr:col>5</xdr:col>
      <xdr:colOff>400050</xdr:colOff>
      <xdr:row>25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D891957-F574-7317-CE38-9472929F09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295276</xdr:colOff>
      <xdr:row>12</xdr:row>
      <xdr:rowOff>14286</xdr:rowOff>
    </xdr:from>
    <xdr:to>
      <xdr:col>12</xdr:col>
      <xdr:colOff>2</xdr:colOff>
      <xdr:row>25</xdr:row>
      <xdr:rowOff>38099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0D13F3B-00E4-D767-A89F-91C4E73D25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561975</xdr:colOff>
      <xdr:row>12</xdr:row>
      <xdr:rowOff>66675</xdr:rowOff>
    </xdr:from>
    <xdr:to>
      <xdr:col>8</xdr:col>
      <xdr:colOff>152400</xdr:colOff>
      <xdr:row>25</xdr:row>
      <xdr:rowOff>47626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B33E91C-F28E-4505-AE16-D9E8B73DB6B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85725</xdr:colOff>
      <xdr:row>1</xdr:row>
      <xdr:rowOff>85725</xdr:rowOff>
    </xdr:from>
    <xdr:to>
      <xdr:col>4</xdr:col>
      <xdr:colOff>657225</xdr:colOff>
      <xdr:row>4</xdr:row>
      <xdr:rowOff>104775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E427E6C-4289-58A8-6388-DE385F991B70}"/>
            </a:ext>
          </a:extLst>
        </xdr:cNvPr>
        <xdr:cNvSpPr/>
      </xdr:nvSpPr>
      <xdr:spPr>
        <a:xfrm>
          <a:off x="85725" y="85725"/>
          <a:ext cx="3400425" cy="590550"/>
        </a:xfrm>
        <a:prstGeom prst="roundRect">
          <a:avLst/>
        </a:prstGeom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400"/>
            <a:t>                </a:t>
          </a:r>
          <a:r>
            <a:rPr lang="en-IN" sz="2000"/>
            <a:t>Sales Analysis Dashboard</a:t>
          </a:r>
        </a:p>
      </xdr:txBody>
    </xdr:sp>
    <xdr:clientData/>
  </xdr:twoCellAnchor>
  <xdr:twoCellAnchor>
    <xdr:from>
      <xdr:col>1</xdr:col>
      <xdr:colOff>0</xdr:colOff>
      <xdr:row>1</xdr:row>
      <xdr:rowOff>180975</xdr:rowOff>
    </xdr:from>
    <xdr:to>
      <xdr:col>1</xdr:col>
      <xdr:colOff>552450</xdr:colOff>
      <xdr:row>3</xdr:row>
      <xdr:rowOff>95250</xdr:rowOff>
    </xdr:to>
    <xdr:sp macro="" textlink="">
      <xdr:nvSpPr>
        <xdr:cNvPr id="7" name="Star: 5 Points 6">
          <a:extLst>
            <a:ext uri="{FF2B5EF4-FFF2-40B4-BE49-F238E27FC236}">
              <a16:creationId xmlns:a16="http://schemas.microsoft.com/office/drawing/2014/main" id="{3B1E72CF-0B6A-6E88-C660-1575FAB076B1}"/>
            </a:ext>
          </a:extLst>
        </xdr:cNvPr>
        <xdr:cNvSpPr/>
      </xdr:nvSpPr>
      <xdr:spPr>
        <a:xfrm>
          <a:off x="123825" y="180975"/>
          <a:ext cx="552450" cy="295275"/>
        </a:xfrm>
        <a:prstGeom prst="star5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114300</xdr:colOff>
      <xdr:row>1</xdr:row>
      <xdr:rowOff>133350</xdr:rowOff>
    </xdr:from>
    <xdr:to>
      <xdr:col>9</xdr:col>
      <xdr:colOff>495301</xdr:colOff>
      <xdr:row>11</xdr:row>
      <xdr:rowOff>9525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B8142EB2-F7BA-ABB8-95DD-D81311033A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685800</xdr:colOff>
      <xdr:row>1</xdr:row>
      <xdr:rowOff>123825</xdr:rowOff>
    </xdr:from>
    <xdr:to>
      <xdr:col>11</xdr:col>
      <xdr:colOff>1381124</xdr:colOff>
      <xdr:row>11</xdr:row>
      <xdr:rowOff>19050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F792788-60EE-1909-F671-A82AFC368D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790574</xdr:colOff>
      <xdr:row>1</xdr:row>
      <xdr:rowOff>28576</xdr:rowOff>
    </xdr:from>
    <xdr:to>
      <xdr:col>5</xdr:col>
      <xdr:colOff>581025</xdr:colOff>
      <xdr:row>4</xdr:row>
      <xdr:rowOff>152400</xdr:rowOff>
    </xdr:to>
    <xdr:sp macro="" textlink="">
      <xdr:nvSpPr>
        <xdr:cNvPr id="23" name="Speech Bubble: Rectangle with Corners Rounded 22">
          <a:extLst>
            <a:ext uri="{FF2B5EF4-FFF2-40B4-BE49-F238E27FC236}">
              <a16:creationId xmlns:a16="http://schemas.microsoft.com/office/drawing/2014/main" id="{8B0B27EC-BEA8-2EBD-65E8-60669BE6DFCF}"/>
            </a:ext>
          </a:extLst>
        </xdr:cNvPr>
        <xdr:cNvSpPr/>
      </xdr:nvSpPr>
      <xdr:spPr>
        <a:xfrm>
          <a:off x="4162424" y="28576"/>
          <a:ext cx="1276351" cy="695324"/>
        </a:xfrm>
        <a:prstGeom prst="wedgeRoundRectCallout">
          <a:avLst/>
        </a:prstGeom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Total</a:t>
          </a:r>
          <a:r>
            <a:rPr lang="en-IN" sz="1100" baseline="0"/>
            <a:t> Discount Amount</a:t>
          </a:r>
        </a:p>
        <a:p>
          <a:pPr algn="ctr"/>
          <a:r>
            <a:rPr lang="en-IN" sz="1100"/>
            <a:t>21.2L</a:t>
          </a:r>
        </a:p>
      </xdr:txBody>
    </xdr:sp>
    <xdr:clientData/>
  </xdr:twoCellAnchor>
  <xdr:twoCellAnchor>
    <xdr:from>
      <xdr:col>5</xdr:col>
      <xdr:colOff>704850</xdr:colOff>
      <xdr:row>1</xdr:row>
      <xdr:rowOff>28575</xdr:rowOff>
    </xdr:from>
    <xdr:to>
      <xdr:col>5</xdr:col>
      <xdr:colOff>2000250</xdr:colOff>
      <xdr:row>4</xdr:row>
      <xdr:rowOff>161925</xdr:rowOff>
    </xdr:to>
    <xdr:sp macro="" textlink="">
      <xdr:nvSpPr>
        <xdr:cNvPr id="24" name="Speech Bubble: Rectangle with Corners Rounded 23">
          <a:extLst>
            <a:ext uri="{FF2B5EF4-FFF2-40B4-BE49-F238E27FC236}">
              <a16:creationId xmlns:a16="http://schemas.microsoft.com/office/drawing/2014/main" id="{F86898E5-14B9-4ED9-AC24-714E9F7AF22C}"/>
            </a:ext>
          </a:extLst>
        </xdr:cNvPr>
        <xdr:cNvSpPr/>
      </xdr:nvSpPr>
      <xdr:spPr>
        <a:xfrm>
          <a:off x="5562600" y="28575"/>
          <a:ext cx="1295400" cy="704850"/>
        </a:xfrm>
        <a:prstGeom prst="wedgeRoundRectCallout">
          <a:avLst/>
        </a:prstGeom>
        <a:effectLst>
          <a:glow rad="139700">
            <a:schemeClr val="accent4">
              <a:satMod val="175000"/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Total Profit Amount</a:t>
          </a:r>
        </a:p>
        <a:p>
          <a:pPr algn="ctr"/>
          <a:r>
            <a:rPr lang="en-IN" sz="1100"/>
            <a:t>28.6L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Bhatt" refreshedDate="45750.44064872685" createdVersion="8" refreshedVersion="8" minRefreshableVersion="3" recordCount="99" xr:uid="{7C8ED35E-88C1-431A-8428-929A54A1A30D}">
  <cacheSource type="worksheet">
    <worksheetSource name="Table3"/>
  </cacheSource>
  <cacheFields count="12">
    <cacheField name="Region" numFmtId="0">
      <sharedItems count="4">
        <s v="South"/>
        <s v="East"/>
        <s v="West"/>
        <s v="North"/>
      </sharedItems>
    </cacheField>
    <cacheField name="City" numFmtId="2">
      <sharedItems count="10">
        <s v="Dallas"/>
        <s v="Chicago"/>
        <s v="Phoenix"/>
        <s v="Philadelphia"/>
        <s v="San Jose"/>
        <s v="Houston"/>
        <s v="San Antonio"/>
        <s v="New York"/>
        <s v="San Diego"/>
        <s v="Los Angeles"/>
      </sharedItems>
    </cacheField>
    <cacheField name="Product_Category" numFmtId="0">
      <sharedItems count="5">
        <s v="Beauty &amp; Health"/>
        <s v="Clothing"/>
        <s v="Electronics"/>
        <s v="Home &amp; Kitchen"/>
        <s v="Sports &amp; Outdoors"/>
      </sharedItems>
    </cacheField>
    <cacheField name="Sale_Amount" numFmtId="1">
      <sharedItems containsSemiMixedTypes="0" containsString="0" containsNumber="1" minValue="102.4862170798214" maxValue="870.45563690178756"/>
    </cacheField>
    <cacheField name="Quantity_Sold" numFmtId="1">
      <sharedItems containsSemiMixedTypes="0" containsString="0" containsNumber="1" minValue="11.624575694019169" maxValue="104.4033833317924"/>
    </cacheField>
    <cacheField name="Total Price" numFmtId="1">
      <sharedItems containsSemiMixedTypes="0" containsString="0" containsNumber="1" minValue="4707.2209245842278" maxValue="71568.742957663315"/>
    </cacheField>
    <cacheField name="Discount_Rate" numFmtId="9">
      <sharedItems containsSemiMixedTypes="0" containsString="0" containsNumber="1" minValue="0.09" maxValue="0.12803922631841169"/>
    </cacheField>
    <cacheField name="Sale Amount After Discount" numFmtId="1">
      <sharedItems containsSemiMixedTypes="0" containsString="0" containsNumber="1" minValue="92.237595371839262" maxValue="759.00317060838233"/>
    </cacheField>
    <cacheField name="Total Sales Amount with Discount" numFmtId="1">
      <sharedItems containsSemiMixedTypes="0" containsString="0" containsNumber="1" minValue="4236.4988321258052" maxValue="64411.86866189698" count="99">
        <n v="13198.679767800666"/>
        <n v="12733.615883372058"/>
        <n v="13022.671489377251"/>
        <n v="15872.173890138325"/>
        <n v="4236.4988321258052"/>
        <n v="12321.658181043105"/>
        <n v="21251.633292801187"/>
        <n v="10148.974500557024"/>
        <n v="27963.441959748434"/>
        <n v="21672.013522112647"/>
        <n v="26102.16650041367"/>
        <n v="27386.765084224506"/>
        <n v="55455.511895816046"/>
        <n v="11660.797051130799"/>
        <n v="16589.650801695265"/>
        <n v="24482.950755031656"/>
        <n v="21493.59435916839"/>
        <n v="31326.11799662147"/>
        <n v="11725.966108958248"/>
        <n v="26377.494100873329"/>
        <n v="17128.400423131377"/>
        <n v="25739.912119301975"/>
        <n v="18934.081385738715"/>
        <n v="6285.5094665101951"/>
        <n v="38990.948835701456"/>
        <n v="18316.526489590964"/>
        <n v="8984.0342033385205"/>
        <n v="11572.51302765581"/>
        <n v="12923.38137895311"/>
        <n v="38264.235493631553"/>
        <n v="17784.012141576884"/>
        <n v="40014.359639080867"/>
        <n v="38549.659137965107"/>
        <n v="20206.730872346598"/>
        <n v="23947.052528317152"/>
        <n v="15761.315284718536"/>
        <n v="11701.165853043341"/>
        <n v="19077.0043597484"/>
        <n v="23688.653441746064"/>
        <n v="64411.86866189698"/>
        <n v="31460.430353286883"/>
        <n v="20157.396121575555"/>
        <n v="20877.430384259904"/>
        <n v="4250.831891545311"/>
        <n v="21732.159814408067"/>
        <n v="17775.638001170028"/>
        <n v="18649.79752096445"/>
        <n v="40436.576657676538"/>
        <n v="29037.342398284214"/>
        <n v="23404.515036694978"/>
        <n v="9629.9170272088941"/>
        <n v="20465.417596529252"/>
        <n v="13862.79814274297"/>
        <n v="10686.703588183165"/>
        <n v="19199.015697271047"/>
        <n v="9808.8448646104589"/>
        <n v="10766.118002340756"/>
        <n v="23070.971107724901"/>
        <n v="24445.666043062913"/>
        <n v="18114.261221269695"/>
        <n v="25272.196711854773"/>
        <n v="10483.315912589333"/>
        <n v="6438.9955147019355"/>
        <n v="46983.876441381944"/>
        <n v="20018.677633386611"/>
        <n v="15439.607512000501"/>
        <n v="15104.807994194847"/>
        <n v="30935.693901583298"/>
        <n v="7420.555404859474"/>
        <n v="30606.800560393294"/>
        <n v="35504.415250251222"/>
        <n v="23454.130893911199"/>
        <n v="11096.64927464912"/>
        <n v="23226.762923088132"/>
        <n v="25659.169640556865"/>
        <n v="21277.635870473077"/>
        <n v="41911.761110978667"/>
        <n v="24861.160811119327"/>
        <n v="4308.7417440343152"/>
        <n v="13637.876184495244"/>
        <n v="36474.745472343377"/>
        <n v="44576.956240030762"/>
        <n v="7412.045339049022"/>
        <n v="13012.40233312658"/>
        <n v="16927.574875974089"/>
        <n v="14133.485557205673"/>
        <n v="32151.347761230667"/>
        <n v="37019.820640538375"/>
        <n v="7746.1889329232736"/>
        <n v="21265.447811670201"/>
        <n v="22302.500143757126"/>
        <n v="7969.7191006059711"/>
        <n v="42035.704072696535"/>
        <n v="17085.380306817056"/>
        <n v="23377.368011216644"/>
        <n v="36963.479569015886"/>
        <n v="17762.459078676067"/>
        <n v="20510.585654847786"/>
        <n v="11190.206473579221"/>
      </sharedItems>
    </cacheField>
    <cacheField name="Profit_Margin" numFmtId="9">
      <sharedItems containsSemiMixedTypes="0" containsString="0" containsNumber="1" minValue="0.2" maxValue="0.23"/>
    </cacheField>
    <cacheField name="Sale Amount after Profit" numFmtId="1">
      <sharedItems containsSemiMixedTypes="0" containsString="0" containsNumber="1" minValue="122.98346049578568" maxValue="1044.546764282145"/>
    </cacheField>
    <cacheField name="Total Sales amount With Profit" numFmtId="1">
      <sharedItems containsSemiMixedTypes="0" containsString="0" containsNumber="1" minValue="5667.7758553937492" maxValue="85882.4915491959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Bhatt" refreshedDate="45752.444979861109" createdVersion="8" refreshedVersion="8" minRefreshableVersion="3" recordCount="5" xr:uid="{C590C7A0-2C59-428F-950F-FC8C8C0B60DB}">
  <cacheSource type="worksheet">
    <worksheetSource ref="N9:O14" sheet="Finding 1 "/>
  </cacheSource>
  <cacheFields count="2">
    <cacheField name="Product_Category" numFmtId="0">
      <sharedItems count="5">
        <s v="Beauty &amp; Health"/>
        <s v="Clothing"/>
        <s v="Electronics"/>
        <s v="Home &amp; Kitchen"/>
        <s v="Sports &amp; Outdoors"/>
      </sharedItems>
    </cacheField>
    <cacheField name="Discount %" numFmtId="9">
      <sharedItems containsSemiMixedTypes="0" containsString="0" containsNumber="1" minValue="0.09" maxValue="0.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mit Bhatt" refreshedDate="45752.449762268516" createdVersion="8" refreshedVersion="8" minRefreshableVersion="3" recordCount="5" xr:uid="{EC6AFC59-39D4-4225-A73B-6F93CCD375E4}">
  <cacheSource type="worksheet">
    <worksheetSource ref="N19:O24" sheet="Finding 1 "/>
  </cacheSource>
  <cacheFields count="2">
    <cacheField name="Product_Category" numFmtId="0">
      <sharedItems count="5">
        <s v="Beauty &amp; Health"/>
        <s v="Clothing"/>
        <s v="Electronics"/>
        <s v="Home &amp; Kitchen"/>
        <s v="Sports &amp; Outdoors"/>
      </sharedItems>
    </cacheField>
    <cacheField name="Profit %" numFmtId="9">
      <sharedItems containsSemiMixedTypes="0" containsString="0" containsNumber="1" minValue="0.2" maxValue="0.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">
  <r>
    <x v="0"/>
    <x v="0"/>
    <x v="0"/>
    <n v="297.43377593311533"/>
    <n v="49.305764605895128"/>
    <n v="14665.199742000739"/>
    <n v="0.1"/>
    <n v="267.69039833980378"/>
    <x v="0"/>
    <n v="0.23"/>
    <n v="365.84354439773188"/>
    <n v="18038.195682660909"/>
  </r>
  <r>
    <x v="1"/>
    <x v="1"/>
    <x v="0"/>
    <n v="217.5392597329417"/>
    <n v="65.038660653735491"/>
    <n v="14148.46209263562"/>
    <n v="0.1"/>
    <n v="195.78533375964753"/>
    <x v="1"/>
    <n v="0.23"/>
    <n v="267.57328947151831"/>
    <n v="17402.608373941814"/>
  </r>
  <r>
    <x v="0"/>
    <x v="2"/>
    <x v="0"/>
    <n v="454.84473990269288"/>
    <n v="31.81225090410522"/>
    <n v="14469.634988196945"/>
    <n v="0.1"/>
    <n v="409.36026591242359"/>
    <x v="2"/>
    <n v="0.23"/>
    <n v="559.45903008031223"/>
    <n v="17797.651035482242"/>
  </r>
  <r>
    <x v="2"/>
    <x v="3"/>
    <x v="0"/>
    <n v="441.661250041345"/>
    <n v="39.930486917676014"/>
    <n v="17635.748766820361"/>
    <n v="0.1"/>
    <n v="397.49512503721053"/>
    <x v="3"/>
    <n v="0.23"/>
    <n v="543.24333755085433"/>
    <n v="21691.970983189043"/>
  </r>
  <r>
    <x v="3"/>
    <x v="4"/>
    <x v="0"/>
    <n v="108.06597522404491"/>
    <n v="43.558769675886488"/>
    <n v="4707.2209245842278"/>
    <n v="0.1"/>
    <n v="97.259377701640418"/>
    <x v="4"/>
    <n v="0.23"/>
    <n v="132.92114952557523"/>
    <n v="5789.8817372386002"/>
  </r>
  <r>
    <x v="0"/>
    <x v="2"/>
    <x v="0"/>
    <n v="539.37224717382469"/>
    <n v="25.3827136713209"/>
    <n v="13690.731312270116"/>
    <n v="0.1"/>
    <n v="485.4350224564422"/>
    <x v="5"/>
    <n v="0.23"/>
    <n v="663.42786402380443"/>
    <n v="16839.599514092242"/>
  </r>
  <r>
    <x v="0"/>
    <x v="5"/>
    <x v="0"/>
    <n v="439.77926088214218"/>
    <n v="53.692677170646093"/>
    <n v="23612.925880890209"/>
    <n v="0.1"/>
    <n v="395.80133479392794"/>
    <x v="6"/>
    <n v="0.23"/>
    <n v="540.92849088503488"/>
    <n v="29043.898833494954"/>
  </r>
  <r>
    <x v="0"/>
    <x v="1"/>
    <x v="0"/>
    <n v="204.29560192651451"/>
    <n v="55.197655884968469"/>
    <n v="11276.638333952249"/>
    <n v="0.1"/>
    <n v="183.86604173386306"/>
    <x v="7"/>
    <n v="0.23"/>
    <n v="251.28359036961285"/>
    <n v="13870.265150761266"/>
  </r>
  <r>
    <x v="3"/>
    <x v="4"/>
    <x v="0"/>
    <n v="564.81679387895906"/>
    <n v="55.009857006917528"/>
    <n v="31070.491066387149"/>
    <n v="0.1"/>
    <n v="508.33511449106317"/>
    <x v="8"/>
    <n v="0.23"/>
    <n v="694.72465647111972"/>
    <n v="38216.704011656198"/>
  </r>
  <r>
    <x v="1"/>
    <x v="3"/>
    <x v="0"/>
    <n v="422.98354391673672"/>
    <n v="56.928964189939506"/>
    <n v="24080.01502456961"/>
    <n v="0.1"/>
    <n v="380.68518952506304"/>
    <x v="9"/>
    <n v="0.23"/>
    <n v="520.26975901758613"/>
    <n v="29618.418480220618"/>
  </r>
  <r>
    <x v="3"/>
    <x v="3"/>
    <x v="0"/>
    <n v="332.15649535547232"/>
    <n v="87.315490222895136"/>
    <n v="29002.407222681857"/>
    <n v="0.1"/>
    <n v="298.94084581992507"/>
    <x v="10"/>
    <n v="0.23"/>
    <n v="408.55248928723097"/>
    <n v="35672.960883898682"/>
  </r>
  <r>
    <x v="2"/>
    <x v="6"/>
    <x v="0"/>
    <n v="462.86820466723663"/>
    <n v="65.741692074849041"/>
    <n v="30429.738982471674"/>
    <n v="0.1"/>
    <n v="416.58138420051296"/>
    <x v="11"/>
    <n v="0.23"/>
    <n v="569.32789174070103"/>
    <n v="37428.578948440161"/>
  </r>
  <r>
    <x v="1"/>
    <x v="7"/>
    <x v="0"/>
    <n v="700.7065795784049"/>
    <n v="87.93585965307895"/>
    <n v="61617.235439795608"/>
    <n v="0.1"/>
    <n v="630.63592162056443"/>
    <x v="12"/>
    <n v="0.23"/>
    <n v="861.86909288143806"/>
    <n v="75789.1995909486"/>
  </r>
  <r>
    <x v="0"/>
    <x v="0"/>
    <x v="0"/>
    <n v="370.97604907897522"/>
    <n v="34.925276712850213"/>
    <n v="12956.441167923111"/>
    <n v="0.1"/>
    <n v="333.87844417107772"/>
    <x v="13"/>
    <n v="0.23"/>
    <n v="456.30054036713955"/>
    <n v="15936.422636545427"/>
  </r>
  <r>
    <x v="1"/>
    <x v="7"/>
    <x v="0"/>
    <n v="572.27912110168279"/>
    <n v="32.209711407489543"/>
    <n v="18432.945335216962"/>
    <n v="0.1"/>
    <n v="515.0512089915145"/>
    <x v="14"/>
    <n v="0.23"/>
    <n v="703.90331895506984"/>
    <n v="22672.522762316865"/>
  </r>
  <r>
    <x v="1"/>
    <x v="0"/>
    <x v="0"/>
    <n v="807.60731329319378"/>
    <n v="33.683794300691233"/>
    <n v="27203.278616701838"/>
    <n v="0.1"/>
    <n v="726.84658196387443"/>
    <x v="15"/>
    <n v="0.23"/>
    <n v="993.35699535062838"/>
    <n v="33460.032698543262"/>
  </r>
  <r>
    <x v="2"/>
    <x v="8"/>
    <x v="0"/>
    <n v="492.83479217800971"/>
    <n v="48.457965811717919"/>
    <n v="23881.7715101871"/>
    <n v="0.1"/>
    <n v="443.55131296020875"/>
    <x v="16"/>
    <n v="0.23"/>
    <n v="606.18679437895196"/>
    <n v="29374.578957530135"/>
  </r>
  <r>
    <x v="3"/>
    <x v="2"/>
    <x v="0"/>
    <n v="440.19852990682648"/>
    <n v="79.070681543146335"/>
    <n v="34806.797774023857"/>
    <n v="0.1"/>
    <n v="396.17867691614384"/>
    <x v="17"/>
    <n v="0.23"/>
    <n v="541.44419178539658"/>
    <n v="42812.361262049344"/>
  </r>
  <r>
    <x v="1"/>
    <x v="8"/>
    <x v="0"/>
    <n v="394.04795924659231"/>
    <n v="33.0641256386319"/>
    <n v="13028.851232175832"/>
    <n v="0.1"/>
    <n v="354.64316332193306"/>
    <x v="18"/>
    <n v="0.23"/>
    <n v="484.67898987330852"/>
    <n v="16025.487015576271"/>
  </r>
  <r>
    <x v="3"/>
    <x v="5"/>
    <x v="0"/>
    <n v="552.21105443597787"/>
    <n v="53.074502118910559"/>
    <n v="29308.326778748142"/>
    <n v="0.1"/>
    <n v="496.98994899238005"/>
    <x v="19"/>
    <n v="0.23"/>
    <n v="679.21959695625276"/>
    <n v="36049.241937860214"/>
  </r>
  <r>
    <x v="1"/>
    <x v="9"/>
    <x v="1"/>
    <n v="472.34713976576307"/>
    <n v="41.58709354469282"/>
    <n v="19643.544687006884"/>
    <n v="0.12803922631841169"/>
    <n v="411.86817743644008"/>
    <x v="20"/>
    <n v="0.2"/>
    <n v="566.81656771891573"/>
    <n v="23572.253624408262"/>
  </r>
  <r>
    <x v="2"/>
    <x v="2"/>
    <x v="1"/>
    <n v="608.51200871719288"/>
    <n v="48.511081684676647"/>
    <n v="29519.575760986412"/>
    <n v="0.12803922631841169"/>
    <n v="530.59860191558096"/>
    <x v="21"/>
    <n v="0.2"/>
    <n v="730.21441046063148"/>
    <n v="35423.490913183698"/>
  </r>
  <r>
    <x v="3"/>
    <x v="6"/>
    <x v="1"/>
    <n v="387.54249415180539"/>
    <n v="56.030946846672251"/>
    <n v="21714.372890646599"/>
    <n v="0.12803922631841169"/>
    <n v="337.92185303510064"/>
    <x v="22"/>
    <n v="0.2"/>
    <n v="465.05099298216646"/>
    <n v="26057.24746877592"/>
  </r>
  <r>
    <x v="0"/>
    <x v="7"/>
    <x v="1"/>
    <n v="379.65867755412057"/>
    <n v="18.986731378677352"/>
    <n v="7208.4773263039679"/>
    <n v="0.12803922631841169"/>
    <n v="331.04747421501963"/>
    <x v="23"/>
    <n v="0.2"/>
    <n v="455.5904130649447"/>
    <n v="8650.1727915647607"/>
  </r>
  <r>
    <x v="2"/>
    <x v="8"/>
    <x v="1"/>
    <n v="870.45563690178756"/>
    <n v="51.371259496120537"/>
    <n v="44716.402403142602"/>
    <n v="0.12803922631841169"/>
    <n v="759.00317060838233"/>
    <x v="24"/>
    <n v="0.2"/>
    <n v="1044.546764282145"/>
    <n v="53659.682883771122"/>
  </r>
  <r>
    <x v="3"/>
    <x v="0"/>
    <x v="1"/>
    <n v="664.50898242063784"/>
    <n v="31.611515315323938"/>
    <n v="21006.135874960317"/>
    <n v="0.12803922631841169"/>
    <n v="579.42576642986432"/>
    <x v="25"/>
    <n v="0.2"/>
    <n v="797.41077890476538"/>
    <n v="25207.363049952382"/>
  </r>
  <r>
    <x v="0"/>
    <x v="7"/>
    <x v="1"/>
    <n v="407.87224580804252"/>
    <n v="25.260985782438361"/>
    <n v="10303.255002408167"/>
    <n v="0.12803922631841169"/>
    <n v="355.64859901802771"/>
    <x v="26"/>
    <n v="0.2"/>
    <n v="489.44669496965105"/>
    <n v="12363.9060028898"/>
  </r>
  <r>
    <x v="3"/>
    <x v="2"/>
    <x v="1"/>
    <n v="364.61559993880832"/>
    <n v="36.399505568430193"/>
    <n v="13271.82756030917"/>
    <n v="0.12803922631841169"/>
    <n v="317.93050061901977"/>
    <x v="27"/>
    <n v="0.2"/>
    <n v="437.53871992656997"/>
    <n v="15926.193072371003"/>
  </r>
  <r>
    <x v="1"/>
    <x v="8"/>
    <x v="1"/>
    <n v="566.25268628071285"/>
    <n v="26.173930055947029"/>
    <n v="14821.058204703493"/>
    <n v="0.12803922631841169"/>
    <n v="493.75013042860809"/>
    <x v="28"/>
    <n v="0.2"/>
    <n v="679.50322353685544"/>
    <n v="17785.269845644194"/>
  </r>
  <r>
    <x v="2"/>
    <x v="4"/>
    <x v="1"/>
    <n v="695.10902542447184"/>
    <n v="63.131072172676603"/>
    <n v="43882.978051951228"/>
    <n v="0.12803922631841169"/>
    <n v="606.10780360217734"/>
    <x v="29"/>
    <n v="0.2"/>
    <n v="834.13083050936621"/>
    <n v="52659.57366234147"/>
  </r>
  <r>
    <x v="2"/>
    <x v="4"/>
    <x v="1"/>
    <n v="278.73300519879427"/>
    <n v="73.171911580148077"/>
    <n v="20395.426810875128"/>
    <n v="0.12803922631841169"/>
    <n v="243.04424686373483"/>
    <x v="30"/>
    <n v="0.2"/>
    <n v="334.47960623855312"/>
    <n v="24474.512173050152"/>
  </r>
  <r>
    <x v="1"/>
    <x v="8"/>
    <x v="1"/>
    <n v="662.50516447883956"/>
    <n v="69.267522584886436"/>
    <n v="45890.091443141922"/>
    <n v="0.12803922631841169"/>
    <n v="577.67851578701686"/>
    <x v="31"/>
    <n v="0.2"/>
    <n v="795.0061973746075"/>
    <n v="55068.10973177031"/>
  </r>
  <r>
    <x v="3"/>
    <x v="1"/>
    <x v="1"/>
    <n v="664.38050087504473"/>
    <n v="66.543664980720479"/>
    <n v="44210.313469952249"/>
    <n v="0.12803922631841169"/>
    <n v="579.31373556196513"/>
    <x v="32"/>
    <n v="0.2"/>
    <n v="797.25660105005363"/>
    <n v="53052.376163942688"/>
  </r>
  <r>
    <x v="0"/>
    <x v="9"/>
    <x v="1"/>
    <n v="518.35215530710047"/>
    <n v="44.706863335240882"/>
    <n v="23173.898966842098"/>
    <n v="0.12803922631841169"/>
    <n v="451.98274638109814"/>
    <x v="33"/>
    <n v="0.2"/>
    <n v="622.02258636852059"/>
    <n v="27808.678760210518"/>
  </r>
  <r>
    <x v="0"/>
    <x v="3"/>
    <x v="1"/>
    <n v="565.75022193193695"/>
    <n v="48.543421746862542"/>
    <n v="27463.451626623097"/>
    <n v="0.12803922631841169"/>
    <n v="493.31200122630202"/>
    <x v="34"/>
    <n v="0.2"/>
    <n v="678.90026631832438"/>
    <n v="32956.14195194772"/>
  </r>
  <r>
    <x v="3"/>
    <x v="4"/>
    <x v="1"/>
    <n v="559.22405541291516"/>
    <n v="32.322851275977342"/>
    <n v="18075.715973060567"/>
    <n v="0.12803922631841169"/>
    <n v="487.62144001920092"/>
    <x v="35"/>
    <n v="0.2"/>
    <n v="671.06886649549824"/>
    <n v="21690.859167672683"/>
  </r>
  <r>
    <x v="0"/>
    <x v="4"/>
    <x v="2"/>
    <n v="599.34283060224652"/>
    <n v="21.692585158991719"/>
    <n v="13001.29539227038"/>
    <n v="0.1"/>
    <n v="539.40854754202189"/>
    <x v="36"/>
    <n v="0.2"/>
    <n v="719.21139672269578"/>
    <n v="15601.554470724455"/>
  </r>
  <r>
    <x v="0"/>
    <x v="2"/>
    <x v="2"/>
    <n v="453.16932505533282"/>
    <n v="46.774285766679817"/>
    <n v="21196.671510831555"/>
    <n v="0.1"/>
    <n v="407.85239254979956"/>
    <x v="37"/>
    <n v="0.2"/>
    <n v="543.80319006639934"/>
    <n v="25436.005812997861"/>
  </r>
  <r>
    <x v="0"/>
    <x v="0"/>
    <x v="2"/>
    <n v="453.17260861016388"/>
    <n v="58.081017136290768"/>
    <n v="26320.726046384516"/>
    <n v="0.1"/>
    <n v="407.85534774914748"/>
    <x v="38"/>
    <n v="0.2"/>
    <n v="543.80713033219672"/>
    <n v="31584.871255661426"/>
  </r>
  <r>
    <x v="2"/>
    <x v="7"/>
    <x v="2"/>
    <n v="815.84256310147828"/>
    <n v="87.723718024210598"/>
    <n v="71568.742957663315"/>
    <n v="0.1"/>
    <n v="734.25830679133048"/>
    <x v="39"/>
    <n v="0.2"/>
    <n v="979.01107572177398"/>
    <n v="85882.491549195984"/>
  </r>
  <r>
    <x v="3"/>
    <x v="2"/>
    <x v="2"/>
    <n v="653.48694583058182"/>
    <n v="53.491556256636777"/>
    <n v="34956.033725874317"/>
    <n v="0.1"/>
    <n v="588.13825124752361"/>
    <x v="40"/>
    <n v="0.2"/>
    <n v="784.18433499669823"/>
    <n v="41947.240471049183"/>
  </r>
  <r>
    <x v="0"/>
    <x v="3"/>
    <x v="2"/>
    <n v="406.10512281300959"/>
    <n v="55.151007814455284"/>
    <n v="22397.106801750615"/>
    <n v="0.1"/>
    <n v="365.49461053170864"/>
    <x v="41"/>
    <n v="0.2"/>
    <n v="487.32614737561153"/>
    <n v="26876.528162100738"/>
  </r>
  <r>
    <x v="2"/>
    <x v="1"/>
    <x v="2"/>
    <n v="318.39518489575778"/>
    <n v="72.856456290300414"/>
    <n v="23197.144871399894"/>
    <n v="0.1"/>
    <n v="286.55566640618201"/>
    <x v="42"/>
    <n v="0.2"/>
    <n v="382.07422187490931"/>
    <n v="27836.573845679872"/>
  </r>
  <r>
    <x v="3"/>
    <x v="8"/>
    <x v="2"/>
    <n v="215.05036275730859"/>
    <n v="21.96297874415438"/>
    <n v="4723.1465461614571"/>
    <n v="0.1"/>
    <n v="193.54532648157772"/>
    <x v="43"/>
    <n v="0.2"/>
    <n v="258.06043530877031"/>
    <n v="5667.7758553937492"/>
  </r>
  <r>
    <x v="1"/>
    <x v="3"/>
    <x v="2"/>
    <n v="391.12345509496339"/>
    <n v="61.73714187600541"/>
    <n v="24146.844238231184"/>
    <n v="0.1"/>
    <n v="352.01110958546707"/>
    <x v="44"/>
    <n v="0.2"/>
    <n v="469.34814611395609"/>
    <n v="28976.213085877425"/>
  </r>
  <r>
    <x v="1"/>
    <x v="3"/>
    <x v="2"/>
    <n v="379.87226201623901"/>
    <n v="51.993027301752832"/>
    <n v="19750.708890188918"/>
    <n v="0.1"/>
    <n v="341.88503581461509"/>
    <x v="45"/>
    <n v="0.2"/>
    <n v="455.84671441948683"/>
    <n v="23700.850668226703"/>
  </r>
  <r>
    <x v="1"/>
    <x v="9"/>
    <x v="2"/>
    <n v="255.83127000579549"/>
    <n v="80.99868810035079"/>
    <n v="20721.997245516057"/>
    <n v="0.1"/>
    <n v="230.24814300521592"/>
    <x v="46"/>
    <n v="0.2"/>
    <n v="306.99752400695456"/>
    <n v="24866.396694619267"/>
  </r>
  <r>
    <x v="1"/>
    <x v="9"/>
    <x v="2"/>
    <n v="771.24800571416461"/>
    <n v="58.255618538729962"/>
    <n v="44929.529619640598"/>
    <n v="0.1"/>
    <n v="694.12320514274813"/>
    <x v="47"/>
    <n v="0.2"/>
    <n v="925.49760685699755"/>
    <n v="53915.435543568718"/>
  </r>
  <r>
    <x v="2"/>
    <x v="5"/>
    <x v="2"/>
    <n v="485.59797568393321"/>
    <n v="66.441203199889799"/>
    <n v="32263.713775871351"/>
    <n v="0.1"/>
    <n v="437.03817811553989"/>
    <x v="48"/>
    <n v="0.2"/>
    <n v="582.71757082071986"/>
    <n v="38716.456531045624"/>
  </r>
  <r>
    <x v="2"/>
    <x v="7"/>
    <x v="2"/>
    <n v="517.40941364763421"/>
    <n v="50.260037837558137"/>
    <n v="26005.016707438866"/>
    <n v="0.1"/>
    <n v="465.66847228287077"/>
    <x v="49"/>
    <n v="0.2"/>
    <n v="620.8912963771611"/>
    <n v="31206.020048926639"/>
  </r>
  <r>
    <x v="2"/>
    <x v="2"/>
    <x v="2"/>
    <n v="102.4862170798214"/>
    <n v="104.4033833317924"/>
    <n v="10699.907808009883"/>
    <n v="0.1"/>
    <n v="92.237595371839262"/>
    <x v="50"/>
    <n v="0.2"/>
    <n v="122.98346049578568"/>
    <n v="12839.889369611859"/>
  </r>
  <r>
    <x v="1"/>
    <x v="9"/>
    <x v="2"/>
    <n v="795.57880894830328"/>
    <n v="28.582150038777751"/>
    <n v="22739.352885032502"/>
    <n v="0.1"/>
    <n v="716.02092805347297"/>
    <x v="51"/>
    <n v="0.2"/>
    <n v="954.69457073796389"/>
    <n v="27287.223462039005"/>
  </r>
  <r>
    <x v="2"/>
    <x v="1"/>
    <x v="2"/>
    <n v="338.30127942136238"/>
    <n v="45.530744293482982"/>
    <n v="15403.109047492188"/>
    <n v="0.1"/>
    <n v="304.47115147922614"/>
    <x v="52"/>
    <n v="0.2"/>
    <n v="405.96153530563487"/>
    <n v="18483.730856990624"/>
  </r>
  <r>
    <x v="3"/>
    <x v="0"/>
    <x v="2"/>
    <n v="602.65348662267127"/>
    <n v="19.703055506282709"/>
    <n v="11874.115097981296"/>
    <n v="0.1"/>
    <n v="542.38813796040415"/>
    <x v="53"/>
    <n v="0.2"/>
    <n v="723.1841839472055"/>
    <n v="14248.938117577554"/>
  </r>
  <r>
    <x v="1"/>
    <x v="2"/>
    <x v="2"/>
    <n v="519.41550986960806"/>
    <n v="41.069700958659581"/>
    <n v="21332.239663634497"/>
    <n v="0.1"/>
    <n v="467.47395888264725"/>
    <x v="54"/>
    <n v="0.2"/>
    <n v="623.29861184352967"/>
    <n v="25598.687596361397"/>
  </r>
  <r>
    <x v="0"/>
    <x v="2"/>
    <x v="2"/>
    <n v="434.46757068044627"/>
    <n v="25.085224425760241"/>
    <n v="10898.716516233844"/>
    <n v="0.1"/>
    <n v="391.02081361240164"/>
    <x v="55"/>
    <n v="0.2"/>
    <n v="521.36108481653559"/>
    <n v="13078.459819480615"/>
  </r>
  <r>
    <x v="3"/>
    <x v="1"/>
    <x v="2"/>
    <n v="207.29701037357631"/>
    <n v="57.706347594576727"/>
    <n v="11962.353335934173"/>
    <n v="0.1"/>
    <n v="186.56730933621867"/>
    <x v="56"/>
    <n v="0.2"/>
    <n v="248.75641244829157"/>
    <n v="14354.824003121006"/>
  </r>
  <r>
    <x v="2"/>
    <x v="0"/>
    <x v="2"/>
    <n v="501.02269132849221"/>
    <n v="51.164174368920001"/>
    <n v="25634.412341916559"/>
    <n v="0.1"/>
    <n v="450.92042219564297"/>
    <x v="57"/>
    <n v="0.2"/>
    <n v="601.2272295941907"/>
    <n v="30761.294810299874"/>
  </r>
  <r>
    <x v="3"/>
    <x v="8"/>
    <x v="3"/>
    <n v="629.53770762013846"/>
    <n v="43.145709669464608"/>
    <n v="27161.851158958791"/>
    <n v="0.1"/>
    <n v="566.58393685812462"/>
    <x v="58"/>
    <n v="0.21"/>
    <n v="761.74062622036752"/>
    <n v="32865.839902340136"/>
  </r>
  <r>
    <x v="0"/>
    <x v="3"/>
    <x v="3"/>
    <n v="406.85404928594858"/>
    <n v="49.469722491015659"/>
    <n v="20126.956912521884"/>
    <n v="0.1"/>
    <n v="366.16864435735374"/>
    <x v="59"/>
    <n v="0.21"/>
    <n v="492.29339963599779"/>
    <n v="24353.617864151482"/>
  </r>
  <r>
    <x v="0"/>
    <x v="6"/>
    <x v="3"/>
    <n v="548.39245431320683"/>
    <n v="51.204604198820533"/>
    <n v="28080.218568727527"/>
    <n v="0.1"/>
    <n v="493.55320888188612"/>
    <x v="60"/>
    <n v="0.21"/>
    <n v="663.55486971898029"/>
    <n v="33977.064468160308"/>
  </r>
  <r>
    <x v="3"/>
    <x v="5"/>
    <x v="3"/>
    <n v="117.3439510684404"/>
    <n v="99.264842249705723"/>
    <n v="11648.128791765925"/>
    <n v="0.1"/>
    <n v="105.60955596159636"/>
    <x v="61"/>
    <n v="0.21"/>
    <n v="141.98618079281289"/>
    <n v="14094.235838036768"/>
  </r>
  <r>
    <x v="3"/>
    <x v="8"/>
    <x v="3"/>
    <n v="155.01643349739351"/>
    <n v="46.152780704377548"/>
    <n v="7154.4394607799286"/>
    <n v="0.1"/>
    <n v="139.51479014765417"/>
    <x v="62"/>
    <n v="0.21"/>
    <n v="187.56988453184613"/>
    <n v="8656.8717475437134"/>
  </r>
  <r>
    <x v="3"/>
    <x v="8"/>
    <x v="3"/>
    <n v="793.12975378431088"/>
    <n v="65.820638940860931"/>
    <n v="52204.307157091054"/>
    <n v="0.1"/>
    <n v="713.81677840587975"/>
    <x v="63"/>
    <n v="0.21"/>
    <n v="959.68700207901611"/>
    <n v="63167.211660080175"/>
  </r>
  <r>
    <x v="0"/>
    <x v="5"/>
    <x v="3"/>
    <n v="575.13960366913443"/>
    <n v="38.674045407944561"/>
    <n v="22242.975148207344"/>
    <n v="0.1"/>
    <n v="517.62564330222096"/>
    <x v="64"/>
    <n v="0.21"/>
    <n v="695.91892043965265"/>
    <n v="26913.999929330887"/>
  </r>
  <r>
    <x v="3"/>
    <x v="1"/>
    <x v="3"/>
    <n v="288.45781420882003"/>
    <n v="59.471848612703631"/>
    <n v="17155.119457778335"/>
    <n v="0.1"/>
    <n v="259.61203278793801"/>
    <x v="65"/>
    <n v="0.21"/>
    <n v="349.03395519267224"/>
    <n v="20757.694543911784"/>
  </r>
  <r>
    <x v="2"/>
    <x v="5"/>
    <x v="3"/>
    <n v="711.42444524378311"/>
    <n v="23.590867738314468"/>
    <n v="16783.11999354983"/>
    <n v="0.1"/>
    <n v="640.28200071940478"/>
    <x v="66"/>
    <n v="0.21"/>
    <n v="860.82357874497757"/>
    <n v="20307.575192195294"/>
  </r>
  <r>
    <x v="0"/>
    <x v="7"/>
    <x v="3"/>
    <n v="568.72365791369225"/>
    <n v="60.438831312337953"/>
    <n v="34372.993223981444"/>
    <n v="0.1"/>
    <n v="511.851292122323"/>
    <x v="67"/>
    <n v="0.21"/>
    <n v="688.15562607556762"/>
    <n v="41591.321801017548"/>
  </r>
  <r>
    <x v="1"/>
    <x v="7"/>
    <x v="3"/>
    <n v="147.39196892745321"/>
    <n v="55.939693464663719"/>
    <n v="8245.0615609549714"/>
    <n v="0.1"/>
    <n v="132.65277203470788"/>
    <x v="68"/>
    <n v="0.21"/>
    <n v="178.34428240221837"/>
    <n v="9976.5244887555164"/>
  </r>
  <r>
    <x v="2"/>
    <x v="5"/>
    <x v="3"/>
    <n v="622.33525776817362"/>
    <n v="54.645073943220069"/>
    <n v="34007.556178214771"/>
    <n v="0.1"/>
    <n v="560.10173199135625"/>
    <x v="69"/>
    <n v="0.21"/>
    <n v="753.02566189949005"/>
    <n v="41149.142975639872"/>
  </r>
  <r>
    <x v="1"/>
    <x v="1"/>
    <x v="3"/>
    <n v="706.19990449919021"/>
    <n v="55.861449465973621"/>
    <n v="39449.350278056911"/>
    <n v="0.1"/>
    <n v="635.57991404927122"/>
    <x v="70"/>
    <n v="0.21"/>
    <n v="854.50188444402011"/>
    <n v="47733.713836448856"/>
  </r>
  <r>
    <x v="3"/>
    <x v="9"/>
    <x v="3"/>
    <n v="438.15752482975711"/>
    <n v="59.476658418235751"/>
    <n v="26060.145437679112"/>
    <n v="0.1"/>
    <n v="394.3417723467814"/>
    <x v="71"/>
    <n v="0.21"/>
    <n v="530.17060504400615"/>
    <n v="31532.77597959173"/>
  </r>
  <r>
    <x v="1"/>
    <x v="2"/>
    <x v="3"/>
    <n v="404.16515243094199"/>
    <n v="30.506366595453571"/>
    <n v="12329.61030516569"/>
    <n v="0.1"/>
    <n v="363.74863718784781"/>
    <x v="72"/>
    <n v="0.21"/>
    <n v="489.03983444143978"/>
    <n v="14918.828469250484"/>
  </r>
  <r>
    <x v="0"/>
    <x v="2"/>
    <x v="3"/>
    <n v="572.32720500952678"/>
    <n v="45.092237679942592"/>
    <n v="25807.514358986813"/>
    <n v="0.1"/>
    <n v="515.09448450857406"/>
    <x v="73"/>
    <n v="0.21"/>
    <n v="692.51591806152737"/>
    <n v="31227.092374374042"/>
  </r>
  <r>
    <x v="1"/>
    <x v="8"/>
    <x v="3"/>
    <n v="456.06562243249761"/>
    <n v="62.513346955300122"/>
    <n v="28510.188489507629"/>
    <n v="0.1"/>
    <n v="410.45906018924785"/>
    <x v="74"/>
    <n v="0.21"/>
    <n v="551.8394031433221"/>
    <n v="34497.328072304234"/>
  </r>
  <r>
    <x v="1"/>
    <x v="1"/>
    <x v="3"/>
    <n v="396.34595634527051"/>
    <n v="59.649448304863697"/>
    <n v="23641.817633858976"/>
    <n v="0.1"/>
    <n v="356.71136071074346"/>
    <x v="75"/>
    <n v="0.21"/>
    <n v="479.57860717777731"/>
    <n v="28606.599336969361"/>
  </r>
  <r>
    <x v="0"/>
    <x v="1"/>
    <x v="3"/>
    <n v="693.72899810657782"/>
    <n v="67.127975886469443"/>
    <n v="46568.623456642963"/>
    <n v="0.1"/>
    <n v="624.35609829591999"/>
    <x v="76"/>
    <n v="0.21"/>
    <n v="839.41208770895912"/>
    <n v="56348.034382537982"/>
  </r>
  <r>
    <x v="1"/>
    <x v="3"/>
    <x v="4"/>
    <n v="804.60597128160509"/>
    <n v="33.95445461556762"/>
    <n v="27319.956935295962"/>
    <n v="0.09"/>
    <n v="732.1914338662607"/>
    <x v="77"/>
    <n v="0.21"/>
    <n v="973.5732252507421"/>
    <n v="33057.147891708111"/>
  </r>
  <r>
    <x v="3"/>
    <x v="3"/>
    <x v="4"/>
    <n v="407.31646143750748"/>
    <n v="11.624575694019169"/>
    <n v="4734.881037400346"/>
    <n v="0.09"/>
    <n v="370.65797990813184"/>
    <x v="78"/>
    <n v="0.21"/>
    <n v="492.85291833938402"/>
    <n v="5729.2060552544181"/>
  </r>
  <r>
    <x v="0"/>
    <x v="6"/>
    <x v="4"/>
    <n v="562.84946651905477"/>
    <n v="26.626439247609358"/>
    <n v="14986.677125818949"/>
    <n v="0.09"/>
    <n v="512.19301453233982"/>
    <x v="79"/>
    <n v="0.21"/>
    <n v="681.04785448805626"/>
    <n v="18133.879322240929"/>
  </r>
  <r>
    <x v="0"/>
    <x v="5"/>
    <x v="4"/>
    <n v="513.50564093758476"/>
    <n v="78.05588621872198"/>
    <n v="40082.13788169602"/>
    <n v="0.09"/>
    <n v="467.29013325320216"/>
    <x v="80"/>
    <n v="0.21"/>
    <n v="621.34182553447749"/>
    <n v="48499.38683685218"/>
  </r>
  <r>
    <x v="3"/>
    <x v="9"/>
    <x v="4"/>
    <n v="522.18451794197324"/>
    <n v="93.809112516199576"/>
    <n v="48985.666197836006"/>
    <n v="0.09"/>
    <n v="475.18791132719565"/>
    <x v="81"/>
    <n v="0.21"/>
    <n v="631.8432667097876"/>
    <n v="59272.656099381566"/>
  </r>
  <r>
    <x v="1"/>
    <x v="5"/>
    <x v="4"/>
    <n v="269.80128451553952"/>
    <n v="30.189273497386228"/>
    <n v="8145.104768185739"/>
    <n v="0.09"/>
    <n v="245.51916890914097"/>
    <x v="82"/>
    <n v="0.21"/>
    <n v="326.45955426380283"/>
    <n v="9855.5767695047434"/>
  </r>
  <r>
    <x v="3"/>
    <x v="3"/>
    <x v="4"/>
    <n v="497.30055505241319"/>
    <n v="28.753925725477899"/>
    <n v="14299.343223216021"/>
    <n v="0.09"/>
    <n v="452.54350509769603"/>
    <x v="83"/>
    <n v="0.21"/>
    <n v="601.73367161341992"/>
    <n v="17302.205300091384"/>
  </r>
  <r>
    <x v="0"/>
    <x v="8"/>
    <x v="4"/>
    <n v="541.77271900095104"/>
    <n v="34.334934153275263"/>
    <n v="18601.730632938557"/>
    <n v="0.09"/>
    <n v="493.01317429086544"/>
    <x v="84"/>
    <n v="0.21"/>
    <n v="655.54498999115071"/>
    <n v="22508.09406585565"/>
  </r>
  <r>
    <x v="3"/>
    <x v="1"/>
    <x v="4"/>
    <n v="234.36279022031391"/>
    <n v="66.27034434739339"/>
    <n v="15531.302810116124"/>
    <n v="0.09"/>
    <n v="213.27013910048566"/>
    <x v="85"/>
    <n v="0.21"/>
    <n v="283.57897616657982"/>
    <n v="18792.876400240508"/>
  </r>
  <r>
    <x v="3"/>
    <x v="3"/>
    <x v="4"/>
    <n v="647.69331599908207"/>
    <n v="54.549198692082591"/>
    <n v="35331.151385967765"/>
    <n v="0.09"/>
    <n v="589.40091755916467"/>
    <x v="86"/>
    <n v="0.21"/>
    <n v="783.70891235888928"/>
    <n v="42750.693177020992"/>
  </r>
  <r>
    <x v="2"/>
    <x v="4"/>
    <x v="4"/>
    <n v="534.27365623799415"/>
    <n v="76.142855085648563"/>
    <n v="40681.121583009204"/>
    <n v="0.09"/>
    <n v="486.18902717657465"/>
    <x v="87"/>
    <n v="0.21"/>
    <n v="646.47112404797292"/>
    <n v="49224.157115441136"/>
  </r>
  <r>
    <x v="0"/>
    <x v="3"/>
    <x v="4"/>
    <n v="476.8703435223519"/>
    <n v="17.850335308775449"/>
    <n v="8512.2955306849162"/>
    <n v="0.09"/>
    <n v="433.9520126053402"/>
    <x v="88"/>
    <n v="0.21"/>
    <n v="577.01311566204583"/>
    <n v="10299.877592128749"/>
  </r>
  <r>
    <x v="2"/>
    <x v="5"/>
    <x v="4"/>
    <n v="356.03115832105829"/>
    <n v="65.636457435546205"/>
    <n v="23368.623968868353"/>
    <n v="0.09"/>
    <n v="323.98835407216302"/>
    <x v="89"/>
    <n v="0.21"/>
    <n v="430.79770156848053"/>
    <n v="28276.035002330711"/>
  </r>
  <r>
    <x v="0"/>
    <x v="7"/>
    <x v="4"/>
    <n v="686.25602382323973"/>
    <n v="35.712971639472642"/>
    <n v="24508.241916216622"/>
    <n v="0.09"/>
    <n v="624.49298167914822"/>
    <x v="90"/>
    <n v="0.21"/>
    <n v="830.36978882612004"/>
    <n v="29654.97271862211"/>
  </r>
  <r>
    <x v="3"/>
    <x v="9"/>
    <x v="4"/>
    <n v="260.75867518386588"/>
    <n v="33.586353632965789"/>
    <n v="8757.9330775889794"/>
    <n v="0.09"/>
    <n v="237.29039441731794"/>
    <x v="91"/>
    <n v="0.21"/>
    <n v="315.5179969724777"/>
    <n v="10597.099023882665"/>
  </r>
  <r>
    <x v="0"/>
    <x v="3"/>
    <x v="4"/>
    <n v="812.92873116280123"/>
    <n v="56.823039496332868"/>
    <n v="46193.081398567621"/>
    <n v="0.09"/>
    <n v="739.76514535814908"/>
    <x v="92"/>
    <n v="0.21"/>
    <n v="983.64376470698949"/>
    <n v="55893.62849226682"/>
  </r>
  <r>
    <x v="2"/>
    <x v="0"/>
    <x v="4"/>
    <n v="571.42251430234933"/>
    <n v="32.856848871674337"/>
    <n v="18775.143194304459"/>
    <n v="0.09"/>
    <n v="519.9944880151379"/>
    <x v="93"/>
    <n v="0.21"/>
    <n v="691.42124230584272"/>
    <n v="22717.923265108398"/>
  </r>
  <r>
    <x v="1"/>
    <x v="7"/>
    <x v="4"/>
    <n v="399.64859128309268"/>
    <n v="64.280009881841835"/>
    <n v="25689.415396941367"/>
    <n v="0.09"/>
    <n v="363.68021806761436"/>
    <x v="94"/>
    <n v="0.21"/>
    <n v="483.57479545254216"/>
    <n v="31084.192630299054"/>
  </r>
  <r>
    <x v="3"/>
    <x v="8"/>
    <x v="4"/>
    <n v="683.08042354041481"/>
    <n v="59.464752491470897"/>
    <n v="40619.208317599878"/>
    <n v="0.09"/>
    <n v="621.60318542177743"/>
    <x v="95"/>
    <n v="0.21"/>
    <n v="826.52731248390194"/>
    <n v="49149.242064295853"/>
  </r>
  <r>
    <x v="3"/>
    <x v="2"/>
    <x v="4"/>
    <n v="359.58938122452952"/>
    <n v="54.281874882604079"/>
    <n v="19519.185800742933"/>
    <n v="0.09"/>
    <n v="327.22633691432185"/>
    <x v="96"/>
    <n v="0.21"/>
    <n v="435.10315128168071"/>
    <n v="23618.214818898949"/>
  </r>
  <r>
    <x v="0"/>
    <x v="2"/>
    <x v="4"/>
    <n v="421.57836937356848"/>
    <n v="53.46361851702364"/>
    <n v="22539.105115217346"/>
    <n v="0.09"/>
    <n v="383.63631612994732"/>
    <x v="97"/>
    <n v="0.21"/>
    <n v="510.10982694201789"/>
    <n v="27272.317189412992"/>
  </r>
  <r>
    <x v="3"/>
    <x v="4"/>
    <x v="4"/>
    <n v="453.08257332497061"/>
    <n v="27.140594043387541"/>
    <n v="12296.930190746396"/>
    <n v="0.09"/>
    <n v="412.30514172572327"/>
    <x v="98"/>
    <n v="0.21"/>
    <n v="548.22991372321439"/>
    <n v="14879.28553080313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.1"/>
  </r>
  <r>
    <x v="1"/>
    <n v="0.13"/>
  </r>
  <r>
    <x v="2"/>
    <n v="0.1"/>
  </r>
  <r>
    <x v="3"/>
    <n v="0.1"/>
  </r>
  <r>
    <x v="4"/>
    <n v="0.0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0.23"/>
  </r>
  <r>
    <x v="1"/>
    <n v="0.2"/>
  </r>
  <r>
    <x v="2"/>
    <n v="0.2"/>
  </r>
  <r>
    <x v="3"/>
    <n v="0.21"/>
  </r>
  <r>
    <x v="4"/>
    <n v="0.2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52CA3-8B84-45B7-8821-AF86AC026E7A}" name="PivotTable7" cacheId="2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2">
  <location ref="E27:F32" firstHeaderRow="1" firstDataRow="1" firstDataCol="1"/>
  <pivotFields count="2"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9" showAl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Profit %" fld="1" baseField="0" baseItem="0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1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4082FE-6E24-48E7-A271-7085E9CAAE64}" name="PivotTable4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>
  <location ref="B27:C32" firstHeaderRow="1" firstDataRow="1" firstDataCol="1"/>
  <pivotFields count="2"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9" showAll="0"/>
  </pivotFields>
  <rowFields count="1">
    <field x="0"/>
  </rowFields>
  <rowItems count="5">
    <i>
      <x/>
    </i>
    <i>
      <x v="1"/>
    </i>
    <i>
      <x v="2"/>
    </i>
    <i>
      <x v="3"/>
    </i>
    <i>
      <x v="4"/>
    </i>
  </rowItems>
  <colItems count="1">
    <i/>
  </colItems>
  <dataFields count="1">
    <dataField name="Sum of Discount %" fld="1" baseField="0" baseItem="0" numFmtId="9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2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2BA89A-D178-40A3-A907-E0C9B5355FA3}" name="PivotTable6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6" rowHeaderCaption="Stores">
  <location ref="H27:L32" firstHeaderRow="0" firstDataRow="1" firstDataCol="1"/>
  <pivotFields count="12"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1" showAll="0"/>
    <pivotField dataField="1" numFmtId="1" showAll="0"/>
    <pivotField numFmtId="1" showAll="0"/>
    <pivotField numFmtId="9" showAll="0"/>
    <pivotField numFmtId="1" showAll="0"/>
    <pivotField numFmtId="1" showAll="0"/>
    <pivotField numFmtId="9" showAll="0"/>
    <pivotField dataField="1" numFmtId="1" showAll="0"/>
    <pivotField dataField="1" numFmtId="1"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Quantity_Sold  " fld="4" baseField="2" baseItem="0" numFmtId="1"/>
    <dataField name="Sale_Amount  " fld="3" baseField="2" baseItem="0" numFmtId="1"/>
    <dataField name="Sale Amt after Profit " fld="10" baseField="2" baseItem="0" numFmtId="1"/>
    <dataField name="Total Sales With Profit " fld="11" baseField="2" baseItem="0" numFmtId="1"/>
  </dataFields>
  <chartFormats count="4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Dark10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B7FC5A-2036-4B25-9E31-1EED02997C24}" name="PivotTable5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9" rowHeaderCaption="Stores ">
  <location ref="B6:F11" firstHeaderRow="0" firstDataRow="1" firstDataCol="1"/>
  <pivotFields count="12">
    <pivotField showAll="0">
      <items count="5">
        <item x="1"/>
        <item x="3"/>
        <item x="0"/>
        <item x="2"/>
        <item t="default"/>
      </items>
    </pivotField>
    <pivotField showAll="0">
      <items count="11">
        <item sd="0" x="1"/>
        <item sd="0" x="0"/>
        <item sd="0" x="5"/>
        <item sd="0" x="9"/>
        <item sd="0" x="7"/>
        <item sd="0" x="3"/>
        <item sd="0" x="2"/>
        <item sd="0" x="6"/>
        <item sd="0" x="8"/>
        <item sd="0" x="4"/>
        <item t="default"/>
      </items>
    </pivotField>
    <pivotField axis="axisRow" showAll="0">
      <items count="6">
        <item x="0"/>
        <item x="1"/>
        <item x="2"/>
        <item x="3"/>
        <item x="4"/>
        <item t="default"/>
      </items>
    </pivotField>
    <pivotField dataField="1" numFmtId="1" showAll="0"/>
    <pivotField dataField="1" numFmtId="1" showAll="0"/>
    <pivotField numFmtId="1" showAll="0"/>
    <pivotField numFmtId="9" showAll="0"/>
    <pivotField dataField="1" numFmtId="1" showAll="0"/>
    <pivotField dataField="1" numFmtId="1" showAll="0">
      <items count="100">
        <item x="4"/>
        <item x="43"/>
        <item x="78"/>
        <item x="23"/>
        <item x="62"/>
        <item x="82"/>
        <item x="68"/>
        <item x="88"/>
        <item x="91"/>
        <item x="26"/>
        <item x="50"/>
        <item x="55"/>
        <item x="7"/>
        <item x="61"/>
        <item x="53"/>
        <item x="56"/>
        <item x="72"/>
        <item x="98"/>
        <item x="27"/>
        <item x="13"/>
        <item x="36"/>
        <item x="18"/>
        <item x="5"/>
        <item x="1"/>
        <item x="28"/>
        <item x="83"/>
        <item x="2"/>
        <item x="0"/>
        <item x="79"/>
        <item x="52"/>
        <item x="85"/>
        <item x="66"/>
        <item x="65"/>
        <item x="35"/>
        <item x="3"/>
        <item x="14"/>
        <item x="84"/>
        <item x="93"/>
        <item x="20"/>
        <item x="96"/>
        <item x="45"/>
        <item x="30"/>
        <item x="59"/>
        <item x="25"/>
        <item x="46"/>
        <item x="22"/>
        <item x="37"/>
        <item x="54"/>
        <item x="64"/>
        <item x="41"/>
        <item x="33"/>
        <item x="51"/>
        <item x="97"/>
        <item x="42"/>
        <item x="6"/>
        <item x="89"/>
        <item x="75"/>
        <item x="16"/>
        <item x="9"/>
        <item x="44"/>
        <item x="90"/>
        <item x="57"/>
        <item x="73"/>
        <item x="94"/>
        <item x="49"/>
        <item x="71"/>
        <item x="38"/>
        <item x="34"/>
        <item x="58"/>
        <item x="15"/>
        <item x="77"/>
        <item x="60"/>
        <item x="74"/>
        <item x="21"/>
        <item x="10"/>
        <item x="19"/>
        <item x="11"/>
        <item x="8"/>
        <item x="48"/>
        <item x="69"/>
        <item x="67"/>
        <item x="17"/>
        <item x="40"/>
        <item x="86"/>
        <item x="70"/>
        <item x="80"/>
        <item x="95"/>
        <item x="87"/>
        <item x="29"/>
        <item x="32"/>
        <item x="24"/>
        <item x="31"/>
        <item x="47"/>
        <item x="76"/>
        <item x="92"/>
        <item x="81"/>
        <item x="63"/>
        <item x="12"/>
        <item x="39"/>
        <item t="default"/>
      </items>
    </pivotField>
    <pivotField numFmtId="9" showAll="0"/>
    <pivotField numFmtId="1" showAll="0"/>
    <pivotField numFmtId="1" showAll="0"/>
  </pivotFields>
  <rowFields count="1">
    <field x="2"/>
  </rowFields>
  <rowItems count="5">
    <i>
      <x/>
    </i>
    <i>
      <x v="1"/>
    </i>
    <i>
      <x v="2"/>
    </i>
    <i>
      <x v="3"/>
    </i>
    <i>
      <x v="4"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Quantity_Sold " fld="4" baseField="2" baseItem="0" numFmtId="1"/>
    <dataField name="Sale_Amount " fld="3" baseField="2" baseItem="0" numFmtId="1"/>
    <dataField name="Amount After Discount " fld="7" baseField="2" baseItem="0" numFmtId="1"/>
    <dataField name="Total Sales Amount with Discount " fld="8" baseField="2" baseItem="0" numFmtId="1"/>
  </dataFields>
  <chartFormats count="4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4" series="1">
      <pivotArea type="data" outline="0" fieldPosition="0">
        <references count="1">
          <reference field="4294967294" count="1" selected="0">
            <x v="3"/>
          </reference>
        </references>
      </pivotArea>
    </chartFormat>
  </chartFormats>
  <pivotTableStyleInfo name="PivotStyleDark13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A385CDD-3FCD-4F4C-B33E-B6E7487D504C}" name="Table1" displayName="Table1" ref="A1:F6" headerRowCount="0" totalsRowShown="0" headerRowDxfId="15" headerRowCellStyle="Normal 2" dataCellStyle="Normal 2">
  <tableColumns count="6">
    <tableColumn id="1" xr3:uid="{4B101A2B-9A5A-4F59-AC53-455D76D21BDA}" name="Column1" headerRowDxfId="14" headerRowCellStyle="Normal 2"/>
    <tableColumn id="2" xr3:uid="{B7BC951E-731B-43E8-A958-E3598D41E067}" name="Column2" headerRowCellStyle="Normal 2"/>
    <tableColumn id="3" xr3:uid="{FA437310-A09B-443D-8FCC-6FE4157C3571}" name="Column3" headerRowCellStyle="Normal 2"/>
    <tableColumn id="4" xr3:uid="{0F8C165D-5009-4124-BC50-C599EEBF3CF2}" name="Column4" headerRowCellStyle="Normal 2"/>
    <tableColumn id="5" xr3:uid="{596301C2-342C-4149-9101-3A2B6935B3DF}" name="Column5" headerRowCellStyle="Normal 2"/>
    <tableColumn id="6" xr3:uid="{A3E11988-832A-46E2-8E6B-F6CCA4E42C3A}" name="Column6" headerRowCellStyle="Normal 2"/>
  </tableColumns>
  <tableStyleInfo name="TableStyleMedium14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2186C17-23D3-4815-BF53-92D2F8BC49CE}" name="Table3" displayName="Table3" ref="A9:L108" totalsRowShown="0" headerRowDxfId="13" dataDxfId="12">
  <autoFilter ref="A9:L108" xr:uid="{B2186C17-23D3-4815-BF53-92D2F8BC49C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995DF83-4AAE-400D-A4FA-13204609856D}" name="Region" dataDxfId="11" dataCellStyle="Normal 2"/>
    <tableColumn id="2" xr3:uid="{A365D738-122A-4185-8865-BD18A8CFD950}" name="City" dataDxfId="10" dataCellStyle="Normal 2"/>
    <tableColumn id="3" xr3:uid="{E1432FD4-7E73-42D4-8251-9D58BC2AF065}" name="Product_Category" dataDxfId="9"/>
    <tableColumn id="4" xr3:uid="{13DC7F2B-403D-45A9-9DAC-306773EEEE53}" name="Sale_Amount" dataDxfId="8"/>
    <tableColumn id="5" xr3:uid="{CB03D7F3-90DA-4657-96A4-A090A6D137DA}" name="Quantity_Sold" dataDxfId="7"/>
    <tableColumn id="6" xr3:uid="{C1C4037E-56FC-4EA5-BB07-1FE8B963E8BB}" name="Total Price" dataDxfId="6"/>
    <tableColumn id="7" xr3:uid="{B04CF809-1947-4A72-B3D0-00823340C634}" name="Discount_Rate" dataDxfId="5" dataCellStyle="Percent"/>
    <tableColumn id="8" xr3:uid="{B38E2ABB-031B-408D-A600-835AF7C90B1F}" name="Sale Amount After Discount" dataDxfId="4"/>
    <tableColumn id="9" xr3:uid="{547BC847-D2AC-40F5-B5F2-081CDB10EFCE}" name="Total Sales Amount with Discount" dataDxfId="3" dataCellStyle="Percent"/>
    <tableColumn id="10" xr3:uid="{013C5F77-B879-41FB-9517-948685CD65F6}" name="Profit_Margin" dataDxfId="2" dataCellStyle="Percent"/>
    <tableColumn id="11" xr3:uid="{D3988F61-5BCB-40CD-AF37-818233514336}" name="Sale Amount after Profit" dataDxfId="1"/>
    <tableColumn id="12" xr3:uid="{87D68C0B-EC6F-446B-BE28-53CCCCE7167D}" name="Total Sales amount With Profit" dataDxfId="0"/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Red Orange">
      <a:dk1>
        <a:sysClr val="windowText" lastClr="000000"/>
      </a:dk1>
      <a:lt1>
        <a:sysClr val="window" lastClr="FFFFFF"/>
      </a:lt1>
      <a:dk2>
        <a:srgbClr val="505046"/>
      </a:dk2>
      <a:lt2>
        <a:srgbClr val="EEECE1"/>
      </a:lt2>
      <a:accent1>
        <a:srgbClr val="E84C22"/>
      </a:accent1>
      <a:accent2>
        <a:srgbClr val="FFBD47"/>
      </a:accent2>
      <a:accent3>
        <a:srgbClr val="B64926"/>
      </a:accent3>
      <a:accent4>
        <a:srgbClr val="FF8427"/>
      </a:accent4>
      <a:accent5>
        <a:srgbClr val="CC9900"/>
      </a:accent5>
      <a:accent6>
        <a:srgbClr val="B22600"/>
      </a:accent6>
      <a:hlink>
        <a:srgbClr val="CC9900"/>
      </a:hlink>
      <a:folHlink>
        <a:srgbClr val="666699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11D9-39A2-4749-A0A9-44801D91E1FC}">
  <dimension ref="A1:Q101"/>
  <sheetViews>
    <sheetView workbookViewId="0">
      <selection activeCell="N8" sqref="N1:N8"/>
    </sheetView>
  </sheetViews>
  <sheetFormatPr defaultRowHeight="15" x14ac:dyDescent="0.25"/>
  <cols>
    <col min="1" max="1" width="17.85546875" bestFit="1" customWidth="1"/>
    <col min="2" max="2" width="19.140625" bestFit="1" customWidth="1"/>
    <col min="3" max="3" width="16.7109375" bestFit="1" customWidth="1"/>
    <col min="4" max="4" width="7.28515625" bestFit="1" customWidth="1"/>
    <col min="5" max="5" width="14.42578125" bestFit="1" customWidth="1"/>
    <col min="6" max="6" width="12.7109375" bestFit="1" customWidth="1"/>
    <col min="7" max="7" width="12.7109375" style="9" bestFit="1" customWidth="1"/>
    <col min="8" max="8" width="13.7109375" bestFit="1" customWidth="1"/>
    <col min="9" max="9" width="14.28515625" style="8" bestFit="1" customWidth="1"/>
    <col min="10" max="10" width="12.85546875" style="8" bestFit="1" customWidth="1"/>
    <col min="11" max="11" width="14" style="9" bestFit="1" customWidth="1"/>
    <col min="12" max="12" width="12.42578125" bestFit="1" customWidth="1"/>
    <col min="14" max="14" width="17.85546875" bestFit="1" customWidth="1"/>
    <col min="15" max="15" width="17.85546875" customWidth="1"/>
    <col min="16" max="16" width="13.7109375" bestFit="1" customWidth="1"/>
  </cols>
  <sheetData>
    <row r="1" spans="1:16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10" t="s">
        <v>6</v>
      </c>
      <c r="H1" s="2" t="s">
        <v>7</v>
      </c>
      <c r="I1" s="6" t="s">
        <v>8</v>
      </c>
      <c r="J1" s="6" t="s">
        <v>9</v>
      </c>
      <c r="K1" s="10" t="s">
        <v>10</v>
      </c>
      <c r="L1" s="2" t="s">
        <v>11</v>
      </c>
      <c r="N1" s="2" t="s">
        <v>0</v>
      </c>
      <c r="O1" s="2" t="s">
        <v>61</v>
      </c>
      <c r="P1" s="2" t="s">
        <v>7</v>
      </c>
    </row>
    <row r="2" spans="1:16" ht="15.75" x14ac:dyDescent="0.25">
      <c r="A2" s="1" t="s">
        <v>44</v>
      </c>
      <c r="B2" s="1" t="s">
        <v>26</v>
      </c>
      <c r="C2" s="1" t="s">
        <v>33</v>
      </c>
      <c r="D2" s="1" t="s">
        <v>15</v>
      </c>
      <c r="E2" s="1" t="s">
        <v>37</v>
      </c>
      <c r="F2" s="1" t="s">
        <v>23</v>
      </c>
      <c r="G2" s="4">
        <v>297.43377593311533</v>
      </c>
      <c r="H2" s="4">
        <v>49.305764605895128</v>
      </c>
      <c r="I2" s="7">
        <v>6.135873927312141E-2</v>
      </c>
      <c r="J2" s="7">
        <v>0.26819529712949641</v>
      </c>
      <c r="K2" s="4">
        <v>8.1023039510450463</v>
      </c>
      <c r="L2" s="3" t="s">
        <v>38</v>
      </c>
      <c r="N2" s="1" t="s">
        <v>44</v>
      </c>
      <c r="O2" s="1">
        <v>1031</v>
      </c>
      <c r="P2" s="4">
        <v>49.305764605895128</v>
      </c>
    </row>
    <row r="3" spans="1:16" ht="15.75" x14ac:dyDescent="0.25">
      <c r="A3" s="1" t="s">
        <v>44</v>
      </c>
      <c r="B3" s="1" t="s">
        <v>13</v>
      </c>
      <c r="C3" s="1" t="s">
        <v>14</v>
      </c>
      <c r="D3" s="1" t="s">
        <v>22</v>
      </c>
      <c r="E3" s="1" t="s">
        <v>30</v>
      </c>
      <c r="F3" s="1" t="s">
        <v>31</v>
      </c>
      <c r="G3" s="4">
        <v>217.5392597329417</v>
      </c>
      <c r="H3" s="4">
        <v>65.038660653735491</v>
      </c>
      <c r="I3" s="7">
        <v>0.10409370696931609</v>
      </c>
      <c r="J3" s="7">
        <v>0.18698569456323161</v>
      </c>
      <c r="K3" s="4">
        <v>5.1350369628202177</v>
      </c>
      <c r="L3" s="3" t="s">
        <v>45</v>
      </c>
      <c r="N3" s="1" t="s">
        <v>19</v>
      </c>
      <c r="O3" s="1">
        <v>734</v>
      </c>
      <c r="P3" s="4">
        <v>65.038660653735491</v>
      </c>
    </row>
    <row r="4" spans="1:16" ht="15.75" x14ac:dyDescent="0.25">
      <c r="A4" s="1" t="s">
        <v>44</v>
      </c>
      <c r="B4" s="1" t="s">
        <v>26</v>
      </c>
      <c r="C4" s="1" t="s">
        <v>14</v>
      </c>
      <c r="D4" s="1" t="s">
        <v>15</v>
      </c>
      <c r="E4" s="1" t="s">
        <v>34</v>
      </c>
      <c r="F4" s="1" t="s">
        <v>35</v>
      </c>
      <c r="G4" s="4">
        <v>454.84473990269288</v>
      </c>
      <c r="H4" s="4">
        <v>31.81225090410522</v>
      </c>
      <c r="I4" s="7">
        <v>6.6367403704125916E-3</v>
      </c>
      <c r="J4" s="7">
        <v>0.25951570254369138</v>
      </c>
      <c r="K4" s="4">
        <v>8.5106816848864089</v>
      </c>
      <c r="L4" s="3" t="s">
        <v>36</v>
      </c>
      <c r="N4" s="1" t="s">
        <v>12</v>
      </c>
      <c r="O4" s="1">
        <v>1161</v>
      </c>
      <c r="P4" s="4">
        <v>31.81225090410522</v>
      </c>
    </row>
    <row r="5" spans="1:16" ht="15.75" x14ac:dyDescent="0.25">
      <c r="A5" s="1" t="s">
        <v>44</v>
      </c>
      <c r="B5" s="1" t="s">
        <v>13</v>
      </c>
      <c r="C5" s="1" t="s">
        <v>21</v>
      </c>
      <c r="D5" s="1" t="s">
        <v>39</v>
      </c>
      <c r="E5" s="1" t="s">
        <v>30</v>
      </c>
      <c r="F5" s="1" t="s">
        <v>35</v>
      </c>
      <c r="G5" s="4">
        <v>441.661250041345</v>
      </c>
      <c r="H5" s="4">
        <v>39.930486917676014</v>
      </c>
      <c r="I5" s="7">
        <v>0.13397988744673381</v>
      </c>
      <c r="J5" s="7">
        <v>0.26283455092642799</v>
      </c>
      <c r="K5" s="4">
        <v>1.482521027153771</v>
      </c>
      <c r="L5" s="3" t="s">
        <v>32</v>
      </c>
      <c r="N5" s="1" t="s">
        <v>25</v>
      </c>
      <c r="O5" s="1">
        <v>1028</v>
      </c>
      <c r="P5" s="4">
        <v>39.930486917676014</v>
      </c>
    </row>
    <row r="6" spans="1:16" ht="15.75" x14ac:dyDescent="0.25">
      <c r="A6" s="1" t="s">
        <v>44</v>
      </c>
      <c r="B6" s="1" t="s">
        <v>20</v>
      </c>
      <c r="C6" s="1" t="s">
        <v>33</v>
      </c>
      <c r="D6" s="1" t="s">
        <v>27</v>
      </c>
      <c r="E6" s="1" t="s">
        <v>34</v>
      </c>
      <c r="F6" s="1" t="s">
        <v>17</v>
      </c>
      <c r="G6" s="4">
        <v>108.06597522404491</v>
      </c>
      <c r="H6" s="4">
        <v>43.558769675886488</v>
      </c>
      <c r="I6" s="7">
        <v>0.1093227157384714</v>
      </c>
      <c r="J6" s="7">
        <v>0.16786141583470071</v>
      </c>
      <c r="K6" s="4">
        <v>2.2397970835702168</v>
      </c>
      <c r="L6" s="3" t="s">
        <v>18</v>
      </c>
      <c r="N6" s="1" t="s">
        <v>29</v>
      </c>
      <c r="O6" s="1">
        <v>1091</v>
      </c>
      <c r="P6" s="4">
        <v>43.558769675886488</v>
      </c>
    </row>
    <row r="7" spans="1:16" ht="15.75" x14ac:dyDescent="0.25">
      <c r="A7" s="1" t="s">
        <v>44</v>
      </c>
      <c r="B7" s="1" t="s">
        <v>13</v>
      </c>
      <c r="C7" s="1" t="s">
        <v>33</v>
      </c>
      <c r="D7" s="1" t="s">
        <v>15</v>
      </c>
      <c r="E7" s="1" t="s">
        <v>16</v>
      </c>
      <c r="F7" s="1" t="s">
        <v>17</v>
      </c>
      <c r="G7" s="4">
        <v>539.37224717382469</v>
      </c>
      <c r="H7" s="4">
        <v>25.3827136713209</v>
      </c>
      <c r="I7" s="7">
        <v>0.14262166673981119</v>
      </c>
      <c r="J7" s="7">
        <v>0.14362754471960251</v>
      </c>
      <c r="K7" s="4">
        <v>4.8889046022067628</v>
      </c>
      <c r="L7" s="3" t="s">
        <v>36</v>
      </c>
      <c r="P7" s="4">
        <v>25.3827136713209</v>
      </c>
    </row>
    <row r="8" spans="1:16" ht="15.75" x14ac:dyDescent="0.25">
      <c r="A8" s="1" t="s">
        <v>44</v>
      </c>
      <c r="B8" s="1" t="s">
        <v>26</v>
      </c>
      <c r="C8" s="1" t="s">
        <v>21</v>
      </c>
      <c r="D8" s="1" t="s">
        <v>15</v>
      </c>
      <c r="E8" s="1" t="s">
        <v>37</v>
      </c>
      <c r="F8" s="1" t="s">
        <v>35</v>
      </c>
      <c r="G8" s="4">
        <v>439.77926088214218</v>
      </c>
      <c r="H8" s="4">
        <v>53.692677170646093</v>
      </c>
      <c r="I8" s="7">
        <v>0.1432877597085061</v>
      </c>
      <c r="J8" s="7">
        <v>0.149305682462887</v>
      </c>
      <c r="K8" s="4">
        <v>4.8217599209744231</v>
      </c>
      <c r="L8" s="3" t="s">
        <v>43</v>
      </c>
      <c r="P8" s="4">
        <v>53.692677170646093</v>
      </c>
    </row>
    <row r="9" spans="1:16" ht="15.75" x14ac:dyDescent="0.25">
      <c r="A9" s="1" t="s">
        <v>44</v>
      </c>
      <c r="B9" s="1" t="s">
        <v>20</v>
      </c>
      <c r="C9" s="1" t="s">
        <v>14</v>
      </c>
      <c r="D9" s="1" t="s">
        <v>15</v>
      </c>
      <c r="E9" s="1" t="s">
        <v>34</v>
      </c>
      <c r="F9" s="1" t="s">
        <v>23</v>
      </c>
      <c r="G9" s="4">
        <v>204.29560192651451</v>
      </c>
      <c r="H9" s="4">
        <v>55.197655884968469</v>
      </c>
      <c r="I9" s="7">
        <v>3.998517964721119E-2</v>
      </c>
      <c r="J9" s="7">
        <v>0.1528961694381677</v>
      </c>
      <c r="K9" s="4">
        <v>2.391060998990294</v>
      </c>
      <c r="L9" s="3" t="s">
        <v>45</v>
      </c>
      <c r="P9" s="4">
        <v>55.197655884968469</v>
      </c>
    </row>
    <row r="10" spans="1:16" ht="15.75" x14ac:dyDescent="0.25">
      <c r="A10" s="1" t="s">
        <v>44</v>
      </c>
      <c r="B10" s="1" t="s">
        <v>26</v>
      </c>
      <c r="C10" s="1" t="s">
        <v>21</v>
      </c>
      <c r="D10" s="1" t="s">
        <v>27</v>
      </c>
      <c r="E10" s="1" t="s">
        <v>34</v>
      </c>
      <c r="F10" s="1" t="s">
        <v>31</v>
      </c>
      <c r="G10" s="4">
        <v>564.81679387895906</v>
      </c>
      <c r="H10" s="4">
        <v>55.009857006917528</v>
      </c>
      <c r="I10" s="7">
        <v>3.6955802283247741E-2</v>
      </c>
      <c r="J10" s="7">
        <v>0.23109075655980049</v>
      </c>
      <c r="K10" s="4">
        <v>4.8746418054536562</v>
      </c>
      <c r="L10" s="3" t="s">
        <v>18</v>
      </c>
      <c r="P10" s="4">
        <v>55.009857006917528</v>
      </c>
    </row>
    <row r="11" spans="1:16" ht="15.75" x14ac:dyDescent="0.25">
      <c r="A11" s="1" t="s">
        <v>44</v>
      </c>
      <c r="B11" s="1" t="s">
        <v>13</v>
      </c>
      <c r="C11" s="1" t="s">
        <v>21</v>
      </c>
      <c r="D11" s="1" t="s">
        <v>22</v>
      </c>
      <c r="E11" s="1" t="s">
        <v>30</v>
      </c>
      <c r="F11" s="1" t="s">
        <v>31</v>
      </c>
      <c r="G11" s="4">
        <v>422.98354391673672</v>
      </c>
      <c r="H11" s="4">
        <v>56.928964189939506</v>
      </c>
      <c r="I11" s="7">
        <v>0.14589309735273881</v>
      </c>
      <c r="J11" s="7">
        <v>0.34753562169495522</v>
      </c>
      <c r="K11" s="4">
        <v>6.9102846410024767</v>
      </c>
      <c r="L11" s="3" t="s">
        <v>32</v>
      </c>
      <c r="P11" s="4">
        <v>56.928964189939506</v>
      </c>
    </row>
    <row r="12" spans="1:16" ht="15.75" x14ac:dyDescent="0.25">
      <c r="A12" s="1" t="s">
        <v>44</v>
      </c>
      <c r="B12" s="1" t="s">
        <v>20</v>
      </c>
      <c r="C12" s="1" t="s">
        <v>14</v>
      </c>
      <c r="D12" s="1" t="s">
        <v>27</v>
      </c>
      <c r="E12" s="1" t="s">
        <v>37</v>
      </c>
      <c r="F12" s="1" t="s">
        <v>35</v>
      </c>
      <c r="G12" s="4">
        <v>332.15649535547232</v>
      </c>
      <c r="H12" s="4">
        <v>87.315490222895136</v>
      </c>
      <c r="I12" s="7">
        <v>0.16334555745933119</v>
      </c>
      <c r="J12" s="7">
        <v>0.198148686400761</v>
      </c>
      <c r="K12" s="4">
        <v>4.7859392800908847</v>
      </c>
      <c r="L12" s="3" t="s">
        <v>32</v>
      </c>
      <c r="P12" s="4">
        <v>87.315490222895136</v>
      </c>
    </row>
    <row r="13" spans="1:16" ht="15.75" x14ac:dyDescent="0.25">
      <c r="A13" s="1" t="s">
        <v>44</v>
      </c>
      <c r="B13" s="1" t="s">
        <v>13</v>
      </c>
      <c r="C13" s="1" t="s">
        <v>41</v>
      </c>
      <c r="D13" s="1" t="s">
        <v>39</v>
      </c>
      <c r="E13" s="1" t="s">
        <v>30</v>
      </c>
      <c r="F13" s="1" t="s">
        <v>23</v>
      </c>
      <c r="G13" s="4">
        <v>462.86820466723663</v>
      </c>
      <c r="H13" s="4">
        <v>65.741692074849041</v>
      </c>
      <c r="I13" s="7">
        <v>9.7023732196910004E-2</v>
      </c>
      <c r="J13" s="7">
        <v>0.35327389130025783</v>
      </c>
      <c r="K13" s="4">
        <v>5.0705271039434576</v>
      </c>
      <c r="L13" s="3" t="s">
        <v>42</v>
      </c>
      <c r="P13" s="4">
        <v>65.741692074849041</v>
      </c>
    </row>
    <row r="14" spans="1:16" ht="15.75" x14ac:dyDescent="0.25">
      <c r="A14" s="1" t="s">
        <v>44</v>
      </c>
      <c r="B14" s="1" t="s">
        <v>20</v>
      </c>
      <c r="C14" s="1" t="s">
        <v>41</v>
      </c>
      <c r="D14" s="1" t="s">
        <v>22</v>
      </c>
      <c r="E14" s="1" t="s">
        <v>37</v>
      </c>
      <c r="F14" s="1" t="s">
        <v>35</v>
      </c>
      <c r="G14" s="4">
        <v>700.7065795784049</v>
      </c>
      <c r="H14" s="4">
        <v>87.93585965307895</v>
      </c>
      <c r="I14" s="7">
        <v>2.849293110196836E-2</v>
      </c>
      <c r="J14" s="7">
        <v>0.2012592400781795</v>
      </c>
      <c r="K14" s="4">
        <v>6.5150154200946098</v>
      </c>
      <c r="L14" s="3" t="s">
        <v>40</v>
      </c>
      <c r="P14" s="4">
        <v>87.93585965307895</v>
      </c>
    </row>
    <row r="15" spans="1:16" ht="15.75" x14ac:dyDescent="0.25">
      <c r="A15" s="1" t="s">
        <v>44</v>
      </c>
      <c r="B15" s="1" t="s">
        <v>13</v>
      </c>
      <c r="C15" s="1" t="s">
        <v>33</v>
      </c>
      <c r="D15" s="1" t="s">
        <v>15</v>
      </c>
      <c r="E15" s="1" t="s">
        <v>37</v>
      </c>
      <c r="F15" s="1" t="s">
        <v>35</v>
      </c>
      <c r="G15" s="4">
        <v>370.97604907897522</v>
      </c>
      <c r="H15" s="4">
        <v>34.925276712850213</v>
      </c>
      <c r="I15" s="7">
        <v>0.10653702886430461</v>
      </c>
      <c r="J15" s="7">
        <v>0.1226990216144534</v>
      </c>
      <c r="K15" s="4">
        <v>3.8483635187106402</v>
      </c>
      <c r="L15" s="3" t="s">
        <v>38</v>
      </c>
      <c r="P15" s="4">
        <v>34.925276712850213</v>
      </c>
    </row>
    <row r="16" spans="1:16" ht="15.75" x14ac:dyDescent="0.25">
      <c r="A16" s="1" t="s">
        <v>44</v>
      </c>
      <c r="B16" s="1" t="s">
        <v>13</v>
      </c>
      <c r="C16" s="1" t="s">
        <v>14</v>
      </c>
      <c r="D16" s="1" t="s">
        <v>22</v>
      </c>
      <c r="E16" s="1" t="s">
        <v>30</v>
      </c>
      <c r="F16" s="1" t="s">
        <v>35</v>
      </c>
      <c r="G16" s="4">
        <v>572.27912110168279</v>
      </c>
      <c r="H16" s="4">
        <v>32.209711407489543</v>
      </c>
      <c r="I16" s="7">
        <v>0.17206366445330579</v>
      </c>
      <c r="J16" s="7">
        <v>0.2024510174258943</v>
      </c>
      <c r="K16" s="4">
        <v>4.4498966056967122</v>
      </c>
      <c r="L16" s="3" t="s">
        <v>40</v>
      </c>
      <c r="P16" s="4">
        <v>32.209711407489543</v>
      </c>
    </row>
    <row r="17" spans="1:17" ht="15.75" x14ac:dyDescent="0.25">
      <c r="A17" s="1" t="s">
        <v>44</v>
      </c>
      <c r="B17" s="1" t="s">
        <v>26</v>
      </c>
      <c r="C17" s="1" t="s">
        <v>41</v>
      </c>
      <c r="D17" s="1" t="s">
        <v>22</v>
      </c>
      <c r="E17" s="1" t="s">
        <v>16</v>
      </c>
      <c r="F17" s="1" t="s">
        <v>31</v>
      </c>
      <c r="G17" s="4">
        <v>807.60731329319378</v>
      </c>
      <c r="H17" s="4">
        <v>33.683794300691233</v>
      </c>
      <c r="I17" s="7">
        <v>2.8206892441028031E-2</v>
      </c>
      <c r="J17" s="7">
        <v>0.24979982912454499</v>
      </c>
      <c r="K17" s="4">
        <v>1</v>
      </c>
      <c r="L17" s="3" t="s">
        <v>38</v>
      </c>
      <c r="P17" s="4">
        <v>33.683794300691233</v>
      </c>
    </row>
    <row r="18" spans="1:17" ht="15.75" x14ac:dyDescent="0.25">
      <c r="A18" s="1" t="s">
        <v>44</v>
      </c>
      <c r="B18" s="1" t="s">
        <v>26</v>
      </c>
      <c r="C18" s="1" t="s">
        <v>41</v>
      </c>
      <c r="D18" s="1" t="s">
        <v>39</v>
      </c>
      <c r="E18" s="1" t="s">
        <v>30</v>
      </c>
      <c r="F18" s="1" t="s">
        <v>35</v>
      </c>
      <c r="G18" s="4">
        <v>492.83479217800971</v>
      </c>
      <c r="H18" s="4">
        <v>48.457965811717919</v>
      </c>
      <c r="I18" s="7">
        <v>0.158158187607748</v>
      </c>
      <c r="J18" s="7">
        <v>0.34511436077950419</v>
      </c>
      <c r="K18" s="4">
        <v>1.969617875602895</v>
      </c>
      <c r="L18" s="3" t="s">
        <v>28</v>
      </c>
      <c r="P18" s="4">
        <v>48.457965811717919</v>
      </c>
    </row>
    <row r="19" spans="1:17" ht="15.75" x14ac:dyDescent="0.25">
      <c r="A19" s="1" t="s">
        <v>44</v>
      </c>
      <c r="B19" s="1" t="s">
        <v>26</v>
      </c>
      <c r="C19" s="1" t="s">
        <v>33</v>
      </c>
      <c r="D19" s="1" t="s">
        <v>27</v>
      </c>
      <c r="E19" s="1" t="s">
        <v>37</v>
      </c>
      <c r="F19" s="1" t="s">
        <v>23</v>
      </c>
      <c r="G19" s="4">
        <v>440.19852990682648</v>
      </c>
      <c r="H19" s="4">
        <v>79.070681543146335</v>
      </c>
      <c r="I19" s="7">
        <v>6.9989156142060277E-2</v>
      </c>
      <c r="J19" s="7">
        <v>0.21833420057383521</v>
      </c>
      <c r="K19" s="4">
        <v>5.622500309087072</v>
      </c>
      <c r="L19" s="3" t="s">
        <v>36</v>
      </c>
      <c r="P19" s="4">
        <v>79.070681543146335</v>
      </c>
    </row>
    <row r="20" spans="1:17" ht="15.75" x14ac:dyDescent="0.25">
      <c r="A20" s="1" t="s">
        <v>44</v>
      </c>
      <c r="B20" s="1" t="s">
        <v>20</v>
      </c>
      <c r="C20" s="1" t="s">
        <v>14</v>
      </c>
      <c r="D20" s="1" t="s">
        <v>22</v>
      </c>
      <c r="E20" s="1" t="s">
        <v>30</v>
      </c>
      <c r="F20" s="1" t="s">
        <v>17</v>
      </c>
      <c r="G20" s="4">
        <v>394.04795924659231</v>
      </c>
      <c r="H20" s="4">
        <v>33.0641256386319</v>
      </c>
      <c r="I20" s="7">
        <v>0.11404959338675159</v>
      </c>
      <c r="J20" s="7">
        <v>0.29504238381860498</v>
      </c>
      <c r="K20" s="4">
        <v>8.3742832701451295</v>
      </c>
      <c r="L20" s="3" t="s">
        <v>28</v>
      </c>
      <c r="P20" s="4">
        <v>33.0641256386319</v>
      </c>
    </row>
    <row r="21" spans="1:17" ht="15.75" x14ac:dyDescent="0.25">
      <c r="A21" s="1" t="s">
        <v>44</v>
      </c>
      <c r="B21" s="1" t="s">
        <v>13</v>
      </c>
      <c r="C21" s="1" t="s">
        <v>41</v>
      </c>
      <c r="D21" s="1" t="s">
        <v>27</v>
      </c>
      <c r="E21" s="1" t="s">
        <v>34</v>
      </c>
      <c r="F21" s="1" t="s">
        <v>31</v>
      </c>
      <c r="G21" s="4">
        <v>552.21105443597787</v>
      </c>
      <c r="H21" s="4">
        <v>53.074502118910559</v>
      </c>
      <c r="I21" s="7">
        <v>0.1153649760438305</v>
      </c>
      <c r="J21" s="7">
        <v>0.33538723741654131</v>
      </c>
      <c r="K21" s="4">
        <v>4.6193226438327839</v>
      </c>
      <c r="L21" s="3" t="s">
        <v>43</v>
      </c>
      <c r="P21" s="4">
        <v>53.074502118910559</v>
      </c>
      <c r="Q21" s="9">
        <f>SUM(P2:P21)</f>
        <v>1031.3369001653516</v>
      </c>
    </row>
    <row r="22" spans="1:17" ht="15.75" x14ac:dyDescent="0.25">
      <c r="A22" s="1" t="s">
        <v>19</v>
      </c>
      <c r="B22" s="1" t="s">
        <v>20</v>
      </c>
      <c r="C22" s="1" t="s">
        <v>21</v>
      </c>
      <c r="D22" s="1" t="s">
        <v>22</v>
      </c>
      <c r="E22" s="1" t="s">
        <v>16</v>
      </c>
      <c r="F22" s="1" t="s">
        <v>23</v>
      </c>
      <c r="G22" s="4">
        <v>472.34713976576307</v>
      </c>
      <c r="H22" s="4">
        <v>41.58709354469282</v>
      </c>
      <c r="I22" s="7">
        <v>0.12803922631841169</v>
      </c>
      <c r="J22" s="7">
        <v>0.14398189598030309</v>
      </c>
      <c r="K22" s="4">
        <v>3.8012499540924538</v>
      </c>
      <c r="L22" s="3" t="s">
        <v>24</v>
      </c>
      <c r="P22" s="4">
        <v>41.58709354469282</v>
      </c>
    </row>
    <row r="23" spans="1:17" ht="15.75" x14ac:dyDescent="0.25">
      <c r="A23" s="1" t="s">
        <v>19</v>
      </c>
      <c r="B23" s="1" t="s">
        <v>26</v>
      </c>
      <c r="C23" s="1" t="s">
        <v>33</v>
      </c>
      <c r="D23" s="1" t="s">
        <v>39</v>
      </c>
      <c r="E23" s="1" t="s">
        <v>30</v>
      </c>
      <c r="F23" s="1" t="s">
        <v>17</v>
      </c>
      <c r="G23" s="4">
        <v>608.51200871719288</v>
      </c>
      <c r="H23" s="4">
        <v>48.511081684676647</v>
      </c>
      <c r="I23" s="7">
        <v>0.29263657453273612</v>
      </c>
      <c r="J23" s="7">
        <v>0.17978073475661061</v>
      </c>
      <c r="K23" s="4">
        <v>6.0288776681174978</v>
      </c>
      <c r="L23" s="3" t="s">
        <v>36</v>
      </c>
      <c r="P23" s="4">
        <v>48.511081684676647</v>
      </c>
    </row>
    <row r="24" spans="1:17" ht="15.75" x14ac:dyDescent="0.25">
      <c r="A24" s="1" t="s">
        <v>19</v>
      </c>
      <c r="B24" s="1" t="s">
        <v>26</v>
      </c>
      <c r="C24" s="1" t="s">
        <v>21</v>
      </c>
      <c r="D24" s="1" t="s">
        <v>27</v>
      </c>
      <c r="E24" s="1" t="s">
        <v>37</v>
      </c>
      <c r="F24" s="1" t="s">
        <v>23</v>
      </c>
      <c r="G24" s="4">
        <v>387.54249415180539</v>
      </c>
      <c r="H24" s="4">
        <v>56.030946846672251</v>
      </c>
      <c r="I24" s="7">
        <v>0.1379484610246634</v>
      </c>
      <c r="J24" s="7">
        <v>0.20210038416327589</v>
      </c>
      <c r="K24" s="4">
        <v>3.5030269268868932</v>
      </c>
      <c r="L24" s="3" t="s">
        <v>42</v>
      </c>
      <c r="P24" s="4">
        <v>56.030946846672251</v>
      </c>
    </row>
    <row r="25" spans="1:17" ht="15.75" x14ac:dyDescent="0.25">
      <c r="A25" s="1" t="s">
        <v>19</v>
      </c>
      <c r="B25" s="1" t="s">
        <v>13</v>
      </c>
      <c r="C25" s="1" t="s">
        <v>14</v>
      </c>
      <c r="D25" s="1" t="s">
        <v>15</v>
      </c>
      <c r="E25" s="1" t="s">
        <v>16</v>
      </c>
      <c r="F25" s="1" t="s">
        <v>17</v>
      </c>
      <c r="G25" s="4">
        <v>379.65867755412057</v>
      </c>
      <c r="H25" s="4">
        <v>18.986731378677352</v>
      </c>
      <c r="I25" s="7">
        <v>6.3481668414143169E-2</v>
      </c>
      <c r="J25" s="7">
        <v>0.19877532271530851</v>
      </c>
      <c r="K25" s="4">
        <v>2.6334829746684498</v>
      </c>
      <c r="L25" s="3" t="s">
        <v>40</v>
      </c>
      <c r="P25" s="4">
        <v>18.986731378677352</v>
      </c>
    </row>
    <row r="26" spans="1:17" ht="15.75" x14ac:dyDescent="0.25">
      <c r="A26" s="1" t="s">
        <v>19</v>
      </c>
      <c r="B26" s="1" t="s">
        <v>13</v>
      </c>
      <c r="C26" s="1" t="s">
        <v>21</v>
      </c>
      <c r="D26" s="1" t="s">
        <v>39</v>
      </c>
      <c r="E26" s="1" t="s">
        <v>30</v>
      </c>
      <c r="F26" s="1" t="s">
        <v>17</v>
      </c>
      <c r="G26" s="4">
        <v>870.45563690178756</v>
      </c>
      <c r="H26" s="4">
        <v>51.371259496120537</v>
      </c>
      <c r="I26" s="7">
        <v>0.11082292947909871</v>
      </c>
      <c r="J26" s="7">
        <v>0.1102745628514168</v>
      </c>
      <c r="K26" s="4">
        <v>1</v>
      </c>
      <c r="L26" s="3" t="s">
        <v>28</v>
      </c>
      <c r="P26" s="4">
        <v>51.371259496120537</v>
      </c>
    </row>
    <row r="27" spans="1:17" ht="15.75" x14ac:dyDescent="0.25">
      <c r="A27" s="1" t="s">
        <v>19</v>
      </c>
      <c r="B27" s="1" t="s">
        <v>26</v>
      </c>
      <c r="C27" s="1" t="s">
        <v>33</v>
      </c>
      <c r="D27" s="1" t="s">
        <v>27</v>
      </c>
      <c r="E27" s="1" t="s">
        <v>34</v>
      </c>
      <c r="F27" s="1" t="s">
        <v>35</v>
      </c>
      <c r="G27" s="4">
        <v>664.50898242063784</v>
      </c>
      <c r="H27" s="4">
        <v>31.611515315323938</v>
      </c>
      <c r="I27" s="7">
        <v>0.2071972044662663</v>
      </c>
      <c r="J27" s="7">
        <v>0.29751197334177509</v>
      </c>
      <c r="K27" s="4">
        <v>8.0047141041920558</v>
      </c>
      <c r="L27" s="3" t="s">
        <v>38</v>
      </c>
      <c r="P27" s="4">
        <v>31.611515315323938</v>
      </c>
    </row>
    <row r="28" spans="1:17" ht="15.75" x14ac:dyDescent="0.25">
      <c r="A28" s="1" t="s">
        <v>19</v>
      </c>
      <c r="B28" s="1" t="s">
        <v>13</v>
      </c>
      <c r="C28" s="1" t="s">
        <v>21</v>
      </c>
      <c r="D28" s="1" t="s">
        <v>15</v>
      </c>
      <c r="E28" s="1" t="s">
        <v>34</v>
      </c>
      <c r="F28" s="1" t="s">
        <v>35</v>
      </c>
      <c r="G28" s="4">
        <v>407.87224580804252</v>
      </c>
      <c r="H28" s="4">
        <v>25.260985782438361</v>
      </c>
      <c r="I28" s="7">
        <v>7.62527344419522E-2</v>
      </c>
      <c r="J28" s="7">
        <v>5.5191565850267597E-2</v>
      </c>
      <c r="K28" s="4">
        <v>5.7331964921936969</v>
      </c>
      <c r="L28" s="3" t="s">
        <v>40</v>
      </c>
      <c r="P28" s="4">
        <v>25.260985782438361</v>
      </c>
    </row>
    <row r="29" spans="1:17" ht="15.75" x14ac:dyDescent="0.25">
      <c r="A29" s="1" t="s">
        <v>19</v>
      </c>
      <c r="B29" s="1" t="s">
        <v>13</v>
      </c>
      <c r="C29" s="1" t="s">
        <v>21</v>
      </c>
      <c r="D29" s="1" t="s">
        <v>27</v>
      </c>
      <c r="E29" s="1" t="s">
        <v>30</v>
      </c>
      <c r="F29" s="1" t="s">
        <v>31</v>
      </c>
      <c r="G29" s="4">
        <v>364.61559993880832</v>
      </c>
      <c r="H29" s="4">
        <v>36.399505568430193</v>
      </c>
      <c r="I29" s="7">
        <v>0.20610780985063171</v>
      </c>
      <c r="J29" s="7">
        <v>0.28576596232020202</v>
      </c>
      <c r="K29" s="4">
        <v>3.028547907328913</v>
      </c>
      <c r="L29" s="3" t="s">
        <v>36</v>
      </c>
      <c r="P29" s="4">
        <v>36.399505568430193</v>
      </c>
    </row>
    <row r="30" spans="1:17" ht="15.75" x14ac:dyDescent="0.25">
      <c r="A30" s="1" t="s">
        <v>19</v>
      </c>
      <c r="B30" s="1" t="s">
        <v>26</v>
      </c>
      <c r="C30" s="1" t="s">
        <v>33</v>
      </c>
      <c r="D30" s="1" t="s">
        <v>22</v>
      </c>
      <c r="E30" s="1" t="s">
        <v>34</v>
      </c>
      <c r="F30" s="1" t="s">
        <v>17</v>
      </c>
      <c r="G30" s="4">
        <v>566.25268628071285</v>
      </c>
      <c r="H30" s="4">
        <v>26.173930055947029</v>
      </c>
      <c r="I30" s="7">
        <v>0.1221909714073114</v>
      </c>
      <c r="J30" s="7">
        <v>0.23227185603380901</v>
      </c>
      <c r="K30" s="4">
        <v>3.8927013893056359</v>
      </c>
      <c r="L30" s="3" t="s">
        <v>28</v>
      </c>
      <c r="P30" s="4">
        <v>26.173930055947029</v>
      </c>
    </row>
    <row r="31" spans="1:17" ht="15.75" x14ac:dyDescent="0.25">
      <c r="A31" s="1" t="s">
        <v>19</v>
      </c>
      <c r="B31" s="1" t="s">
        <v>13</v>
      </c>
      <c r="C31" s="1" t="s">
        <v>41</v>
      </c>
      <c r="D31" s="1" t="s">
        <v>39</v>
      </c>
      <c r="E31" s="1" t="s">
        <v>37</v>
      </c>
      <c r="F31" s="1" t="s">
        <v>17</v>
      </c>
      <c r="G31" s="4">
        <v>695.10902542447184</v>
      </c>
      <c r="H31" s="4">
        <v>63.131072172676603</v>
      </c>
      <c r="I31" s="7">
        <v>0.13873170267146681</v>
      </c>
      <c r="J31" s="7">
        <v>0.1172769056447677</v>
      </c>
      <c r="K31" s="4">
        <v>2.6042442148223031</v>
      </c>
      <c r="L31" s="3" t="s">
        <v>18</v>
      </c>
      <c r="P31" s="4">
        <v>63.131072172676603</v>
      </c>
    </row>
    <row r="32" spans="1:17" ht="15.75" x14ac:dyDescent="0.25">
      <c r="A32" s="1" t="s">
        <v>19</v>
      </c>
      <c r="B32" s="1" t="s">
        <v>26</v>
      </c>
      <c r="C32" s="1" t="s">
        <v>14</v>
      </c>
      <c r="D32" s="1" t="s">
        <v>39</v>
      </c>
      <c r="E32" s="1" t="s">
        <v>16</v>
      </c>
      <c r="F32" s="1" t="s">
        <v>23</v>
      </c>
      <c r="G32" s="4">
        <v>278.73300519879427</v>
      </c>
      <c r="H32" s="4">
        <v>73.171911580148077</v>
      </c>
      <c r="I32" s="7">
        <v>0</v>
      </c>
      <c r="J32" s="7">
        <v>0.18912398515431431</v>
      </c>
      <c r="K32" s="4">
        <v>3.600548984014829</v>
      </c>
      <c r="L32" s="3" t="s">
        <v>18</v>
      </c>
      <c r="P32" s="4">
        <v>73.171911580148077</v>
      </c>
    </row>
    <row r="33" spans="1:17" ht="15.75" x14ac:dyDescent="0.25">
      <c r="A33" s="1" t="s">
        <v>19</v>
      </c>
      <c r="B33" s="1" t="s">
        <v>13</v>
      </c>
      <c r="C33" s="1" t="s">
        <v>21</v>
      </c>
      <c r="D33" s="1" t="s">
        <v>22</v>
      </c>
      <c r="E33" s="1" t="s">
        <v>37</v>
      </c>
      <c r="F33" s="1" t="s">
        <v>23</v>
      </c>
      <c r="G33" s="4">
        <v>662.50516447883956</v>
      </c>
      <c r="H33" s="4">
        <v>69.267522584886436</v>
      </c>
      <c r="I33" s="7">
        <v>8.7371592430341982E-2</v>
      </c>
      <c r="J33" s="7">
        <v>0.26901439917111131</v>
      </c>
      <c r="K33" s="4">
        <v>4.7753439006183402</v>
      </c>
      <c r="L33" s="3" t="s">
        <v>28</v>
      </c>
      <c r="P33" s="4">
        <v>69.267522584886436</v>
      </c>
    </row>
    <row r="34" spans="1:17" ht="15.75" x14ac:dyDescent="0.25">
      <c r="A34" s="1" t="s">
        <v>19</v>
      </c>
      <c r="B34" s="1" t="s">
        <v>26</v>
      </c>
      <c r="C34" s="1" t="s">
        <v>41</v>
      </c>
      <c r="D34" s="1" t="s">
        <v>27</v>
      </c>
      <c r="E34" s="1" t="s">
        <v>34</v>
      </c>
      <c r="F34" s="1" t="s">
        <v>23</v>
      </c>
      <c r="G34" s="4">
        <v>664.38050087504473</v>
      </c>
      <c r="H34" s="4">
        <v>66.543664980720479</v>
      </c>
      <c r="I34" s="7">
        <v>0.1231051737131635</v>
      </c>
      <c r="J34" s="7">
        <v>0.1232652437111951</v>
      </c>
      <c r="K34" s="4">
        <v>4.5019279208872431</v>
      </c>
      <c r="L34" s="3" t="s">
        <v>45</v>
      </c>
      <c r="P34" s="4">
        <v>66.543664980720479</v>
      </c>
    </row>
    <row r="35" spans="1:17" ht="15.75" x14ac:dyDescent="0.25">
      <c r="A35" s="1" t="s">
        <v>19</v>
      </c>
      <c r="B35" s="1" t="s">
        <v>13</v>
      </c>
      <c r="C35" s="1" t="s">
        <v>33</v>
      </c>
      <c r="D35" s="1" t="s">
        <v>15</v>
      </c>
      <c r="E35" s="1" t="s">
        <v>30</v>
      </c>
      <c r="F35" s="1" t="s">
        <v>23</v>
      </c>
      <c r="G35" s="4">
        <v>518.35215530710047</v>
      </c>
      <c r="H35" s="4">
        <v>44.706863335240882</v>
      </c>
      <c r="I35" s="7">
        <v>0.10349010424950091</v>
      </c>
      <c r="J35" s="7">
        <v>0.41898029332176723</v>
      </c>
      <c r="K35" s="4">
        <v>11.157761616910481</v>
      </c>
      <c r="L35" s="3" t="s">
        <v>24</v>
      </c>
      <c r="P35" s="4">
        <v>44.706863335240882</v>
      </c>
    </row>
    <row r="36" spans="1:17" ht="15.75" x14ac:dyDescent="0.25">
      <c r="A36" s="1" t="s">
        <v>19</v>
      </c>
      <c r="B36" s="1" t="s">
        <v>26</v>
      </c>
      <c r="C36" s="1" t="s">
        <v>14</v>
      </c>
      <c r="D36" s="1" t="s">
        <v>15</v>
      </c>
      <c r="E36" s="1" t="s">
        <v>37</v>
      </c>
      <c r="F36" s="1" t="s">
        <v>31</v>
      </c>
      <c r="G36" s="4">
        <v>565.75022193193695</v>
      </c>
      <c r="H36" s="4">
        <v>48.543421746862542</v>
      </c>
      <c r="I36" s="7">
        <v>0.1294158603242288</v>
      </c>
      <c r="J36" s="7">
        <v>0.38761708392158872</v>
      </c>
      <c r="K36" s="4">
        <v>2.8369039927712101</v>
      </c>
      <c r="L36" s="3" t="s">
        <v>32</v>
      </c>
      <c r="P36" s="4">
        <v>48.543421746862542</v>
      </c>
    </row>
    <row r="37" spans="1:17" ht="15.75" x14ac:dyDescent="0.25">
      <c r="A37" s="1" t="s">
        <v>19</v>
      </c>
      <c r="B37" s="1" t="s">
        <v>20</v>
      </c>
      <c r="C37" s="1" t="s">
        <v>41</v>
      </c>
      <c r="D37" s="1" t="s">
        <v>27</v>
      </c>
      <c r="E37" s="1" t="s">
        <v>34</v>
      </c>
      <c r="F37" s="1" t="s">
        <v>17</v>
      </c>
      <c r="G37" s="4">
        <v>559.22405541291516</v>
      </c>
      <c r="H37" s="4">
        <v>32.322851275977342</v>
      </c>
      <c r="I37" s="7">
        <v>0.14497999377166251</v>
      </c>
      <c r="J37" s="7">
        <v>2.868654709091226E-2</v>
      </c>
      <c r="K37" s="4">
        <v>2.9255076913470872</v>
      </c>
      <c r="L37" s="3" t="s">
        <v>18</v>
      </c>
      <c r="P37" s="4">
        <v>32.322851275977342</v>
      </c>
      <c r="Q37" s="9">
        <f>SUM(P22:P37)</f>
        <v>733.62035734949154</v>
      </c>
    </row>
    <row r="38" spans="1:17" ht="15.75" x14ac:dyDescent="0.25">
      <c r="A38" s="1" t="s">
        <v>12</v>
      </c>
      <c r="B38" s="1" t="s">
        <v>13</v>
      </c>
      <c r="C38" s="1" t="s">
        <v>14</v>
      </c>
      <c r="D38" s="1" t="s">
        <v>15</v>
      </c>
      <c r="E38" s="1" t="s">
        <v>16</v>
      </c>
      <c r="F38" s="1" t="s">
        <v>17</v>
      </c>
      <c r="G38" s="4">
        <v>599.34283060224652</v>
      </c>
      <c r="H38" s="4">
        <v>21.692585158991719</v>
      </c>
      <c r="I38" s="7">
        <v>0.1178893680174142</v>
      </c>
      <c r="J38" s="7">
        <v>0.1171004989077928</v>
      </c>
      <c r="K38" s="4">
        <v>1.811144682411266</v>
      </c>
      <c r="L38" s="3" t="s">
        <v>18</v>
      </c>
      <c r="P38" s="4">
        <v>21.692585158991719</v>
      </c>
    </row>
    <row r="39" spans="1:17" ht="15.75" x14ac:dyDescent="0.25">
      <c r="A39" s="1" t="s">
        <v>12</v>
      </c>
      <c r="B39" s="1" t="s">
        <v>20</v>
      </c>
      <c r="C39" s="1" t="s">
        <v>33</v>
      </c>
      <c r="D39" s="1" t="s">
        <v>15</v>
      </c>
      <c r="E39" s="1" t="s">
        <v>34</v>
      </c>
      <c r="F39" s="1" t="s">
        <v>35</v>
      </c>
      <c r="G39" s="4">
        <v>453.16932505533282</v>
      </c>
      <c r="H39" s="4">
        <v>46.774285766679817</v>
      </c>
      <c r="I39" s="7">
        <v>3.1116531602145451E-2</v>
      </c>
      <c r="J39" s="7">
        <v>0.19790984060358521</v>
      </c>
      <c r="K39" s="4">
        <v>4.0998690570415128</v>
      </c>
      <c r="L39" s="3" t="s">
        <v>36</v>
      </c>
      <c r="P39" s="4">
        <v>46.774285766679817</v>
      </c>
    </row>
    <row r="40" spans="1:17" ht="15.75" x14ac:dyDescent="0.25">
      <c r="A40" s="1" t="s">
        <v>12</v>
      </c>
      <c r="B40" s="1" t="s">
        <v>13</v>
      </c>
      <c r="C40" s="1" t="s">
        <v>21</v>
      </c>
      <c r="D40" s="1" t="s">
        <v>15</v>
      </c>
      <c r="E40" s="1" t="s">
        <v>37</v>
      </c>
      <c r="F40" s="1" t="s">
        <v>17</v>
      </c>
      <c r="G40" s="4">
        <v>453.17260861016388</v>
      </c>
      <c r="H40" s="4">
        <v>58.081017136290768</v>
      </c>
      <c r="I40" s="7">
        <v>5.3108748004243873E-2</v>
      </c>
      <c r="J40" s="7">
        <v>0.21173273833087819</v>
      </c>
      <c r="K40" s="4">
        <v>6.2456998646949966</v>
      </c>
      <c r="L40" s="3" t="s">
        <v>38</v>
      </c>
      <c r="P40" s="4">
        <v>58.081017136290768</v>
      </c>
    </row>
    <row r="41" spans="1:17" ht="15.75" x14ac:dyDescent="0.25">
      <c r="A41" s="1" t="s">
        <v>12</v>
      </c>
      <c r="B41" s="1" t="s">
        <v>26</v>
      </c>
      <c r="C41" s="1" t="s">
        <v>33</v>
      </c>
      <c r="D41" s="1" t="s">
        <v>39</v>
      </c>
      <c r="E41" s="1" t="s">
        <v>16</v>
      </c>
      <c r="F41" s="1" t="s">
        <v>17</v>
      </c>
      <c r="G41" s="4">
        <v>815.84256310147828</v>
      </c>
      <c r="H41" s="4">
        <v>87.723718024210598</v>
      </c>
      <c r="I41" s="7">
        <v>0.12575176336043301</v>
      </c>
      <c r="J41" s="7">
        <v>0.32776648957884252</v>
      </c>
      <c r="K41" s="4">
        <v>2.8647591412348108</v>
      </c>
      <c r="L41" s="3" t="s">
        <v>40</v>
      </c>
      <c r="P41" s="4">
        <v>87.723718024210598</v>
      </c>
    </row>
    <row r="42" spans="1:17" ht="15.75" x14ac:dyDescent="0.25">
      <c r="A42" s="1" t="s">
        <v>12</v>
      </c>
      <c r="B42" s="1" t="s">
        <v>13</v>
      </c>
      <c r="C42" s="1" t="s">
        <v>41</v>
      </c>
      <c r="D42" s="1" t="s">
        <v>27</v>
      </c>
      <c r="E42" s="1" t="s">
        <v>30</v>
      </c>
      <c r="F42" s="1" t="s">
        <v>31</v>
      </c>
      <c r="G42" s="4">
        <v>653.48694583058182</v>
      </c>
      <c r="H42" s="4">
        <v>53.491556256636777</v>
      </c>
      <c r="I42" s="7">
        <v>0.12568929754561051</v>
      </c>
      <c r="J42" s="7">
        <v>0.140842861116417</v>
      </c>
      <c r="K42" s="4">
        <v>4.7152410299574132</v>
      </c>
      <c r="L42" s="3" t="s">
        <v>36</v>
      </c>
      <c r="P42" s="4">
        <v>53.491556256636777</v>
      </c>
    </row>
    <row r="43" spans="1:17" ht="15.75" x14ac:dyDescent="0.25">
      <c r="A43" s="1" t="s">
        <v>12</v>
      </c>
      <c r="B43" s="1" t="s">
        <v>13</v>
      </c>
      <c r="C43" s="1" t="s">
        <v>21</v>
      </c>
      <c r="D43" s="1" t="s">
        <v>15</v>
      </c>
      <c r="E43" s="1" t="s">
        <v>30</v>
      </c>
      <c r="F43" s="1" t="s">
        <v>17</v>
      </c>
      <c r="G43" s="4">
        <v>406.10512281300959</v>
      </c>
      <c r="H43" s="4">
        <v>55.151007814455284</v>
      </c>
      <c r="I43" s="7">
        <v>0.12575238431530239</v>
      </c>
      <c r="J43" s="7">
        <v>0.25470973811700381</v>
      </c>
      <c r="K43" s="4">
        <v>5.2405912634237977</v>
      </c>
      <c r="L43" s="3" t="s">
        <v>32</v>
      </c>
      <c r="P43" s="4">
        <v>55.151007814455284</v>
      </c>
    </row>
    <row r="44" spans="1:17" ht="15.75" x14ac:dyDescent="0.25">
      <c r="A44" s="1" t="s">
        <v>12</v>
      </c>
      <c r="B44" s="1" t="s">
        <v>26</v>
      </c>
      <c r="C44" s="1" t="s">
        <v>33</v>
      </c>
      <c r="D44" s="1" t="s">
        <v>39</v>
      </c>
      <c r="E44" s="1" t="s">
        <v>34</v>
      </c>
      <c r="F44" s="1" t="s">
        <v>23</v>
      </c>
      <c r="G44" s="4">
        <v>318.39518489575778</v>
      </c>
      <c r="H44" s="4">
        <v>72.856456290300414</v>
      </c>
      <c r="I44" s="7">
        <v>7.573182260854483E-2</v>
      </c>
      <c r="J44" s="7">
        <v>0.23241663524884421</v>
      </c>
      <c r="K44" s="4">
        <v>7.3585943681276529</v>
      </c>
      <c r="L44" s="3" t="s">
        <v>45</v>
      </c>
      <c r="P44" s="4">
        <v>72.856456290300414</v>
      </c>
    </row>
    <row r="45" spans="1:17" ht="15.75" x14ac:dyDescent="0.25">
      <c r="A45" s="1" t="s">
        <v>12</v>
      </c>
      <c r="B45" s="1" t="s">
        <v>20</v>
      </c>
      <c r="C45" s="1" t="s">
        <v>21</v>
      </c>
      <c r="D45" s="1" t="s">
        <v>27</v>
      </c>
      <c r="E45" s="1" t="s">
        <v>30</v>
      </c>
      <c r="F45" s="1" t="s">
        <v>35</v>
      </c>
      <c r="G45" s="4">
        <v>215.05036275730859</v>
      </c>
      <c r="H45" s="4">
        <v>21.96297874415438</v>
      </c>
      <c r="I45" s="7">
        <v>1.936420644051742E-2</v>
      </c>
      <c r="J45" s="7">
        <v>0.40923872756854612</v>
      </c>
      <c r="K45" s="4">
        <v>6.9431419019087111</v>
      </c>
      <c r="L45" s="3" t="s">
        <v>28</v>
      </c>
      <c r="P45" s="4">
        <v>21.96297874415438</v>
      </c>
    </row>
    <row r="46" spans="1:17" ht="15.75" x14ac:dyDescent="0.25">
      <c r="A46" s="1" t="s">
        <v>12</v>
      </c>
      <c r="B46" s="1" t="s">
        <v>20</v>
      </c>
      <c r="C46" s="1" t="s">
        <v>21</v>
      </c>
      <c r="D46" s="1" t="s">
        <v>22</v>
      </c>
      <c r="E46" s="1" t="s">
        <v>16</v>
      </c>
      <c r="F46" s="1" t="s">
        <v>35</v>
      </c>
      <c r="G46" s="4">
        <v>391.12345509496339</v>
      </c>
      <c r="H46" s="4">
        <v>61.73714187600541</v>
      </c>
      <c r="I46" s="7">
        <v>7.6403406710528338E-2</v>
      </c>
      <c r="J46" s="7">
        <v>9.9398261850029812E-2</v>
      </c>
      <c r="K46" s="4">
        <v>6.2907518991702949</v>
      </c>
      <c r="L46" s="3" t="s">
        <v>32</v>
      </c>
      <c r="P46" s="4">
        <v>61.73714187600541</v>
      </c>
    </row>
    <row r="47" spans="1:17" ht="15.75" x14ac:dyDescent="0.25">
      <c r="A47" s="1" t="s">
        <v>12</v>
      </c>
      <c r="B47" s="1" t="s">
        <v>26</v>
      </c>
      <c r="C47" s="1" t="s">
        <v>41</v>
      </c>
      <c r="D47" s="1" t="s">
        <v>22</v>
      </c>
      <c r="E47" s="1" t="s">
        <v>16</v>
      </c>
      <c r="F47" s="1" t="s">
        <v>35</v>
      </c>
      <c r="G47" s="4">
        <v>379.87226201623901</v>
      </c>
      <c r="H47" s="4">
        <v>51.993027301752832</v>
      </c>
      <c r="I47" s="7">
        <v>6.4234814537001583E-2</v>
      </c>
      <c r="J47" s="7">
        <v>0.26241198170521551</v>
      </c>
      <c r="K47" s="4">
        <v>7.1168489736991756</v>
      </c>
      <c r="L47" s="3" t="s">
        <v>32</v>
      </c>
      <c r="P47" s="4">
        <v>51.993027301752832</v>
      </c>
    </row>
    <row r="48" spans="1:17" ht="15.75" x14ac:dyDescent="0.25">
      <c r="A48" s="1" t="s">
        <v>12</v>
      </c>
      <c r="B48" s="1" t="s">
        <v>20</v>
      </c>
      <c r="C48" s="1" t="s">
        <v>14</v>
      </c>
      <c r="D48" s="1" t="s">
        <v>22</v>
      </c>
      <c r="E48" s="1" t="s">
        <v>34</v>
      </c>
      <c r="F48" s="1" t="s">
        <v>31</v>
      </c>
      <c r="G48" s="4">
        <v>255.83127000579549</v>
      </c>
      <c r="H48" s="4">
        <v>80.99868810035079</v>
      </c>
      <c r="I48" s="7">
        <v>0.1316959511159006</v>
      </c>
      <c r="J48" s="7">
        <v>0.18529426184978609</v>
      </c>
      <c r="K48" s="4">
        <v>5.1481895608395503</v>
      </c>
      <c r="L48" s="3" t="s">
        <v>24</v>
      </c>
      <c r="P48" s="4">
        <v>80.99868810035079</v>
      </c>
    </row>
    <row r="49" spans="1:17" ht="15.75" x14ac:dyDescent="0.25">
      <c r="A49" s="1" t="s">
        <v>12</v>
      </c>
      <c r="B49" s="1" t="s">
        <v>13</v>
      </c>
      <c r="C49" s="1" t="s">
        <v>33</v>
      </c>
      <c r="D49" s="1" t="s">
        <v>22</v>
      </c>
      <c r="E49" s="1" t="s">
        <v>16</v>
      </c>
      <c r="F49" s="1" t="s">
        <v>17</v>
      </c>
      <c r="G49" s="4">
        <v>771.24800571416461</v>
      </c>
      <c r="H49" s="4">
        <v>58.255618538729962</v>
      </c>
      <c r="I49" s="7">
        <v>3.7610840901757529E-2</v>
      </c>
      <c r="J49" s="7">
        <v>0.1598779528114164</v>
      </c>
      <c r="K49" s="4">
        <v>4.5580608009335544</v>
      </c>
      <c r="L49" s="3" t="s">
        <v>24</v>
      </c>
      <c r="P49" s="4">
        <v>58.255618538729962</v>
      </c>
    </row>
    <row r="50" spans="1:17" ht="15.75" x14ac:dyDescent="0.25">
      <c r="A50" s="1" t="s">
        <v>12</v>
      </c>
      <c r="B50" s="1" t="s">
        <v>13</v>
      </c>
      <c r="C50" s="1" t="s">
        <v>41</v>
      </c>
      <c r="D50" s="1" t="s">
        <v>39</v>
      </c>
      <c r="E50" s="1" t="s">
        <v>37</v>
      </c>
      <c r="F50" s="1" t="s">
        <v>23</v>
      </c>
      <c r="G50" s="4">
        <v>485.59797568393321</v>
      </c>
      <c r="H50" s="4">
        <v>66.441203199889799</v>
      </c>
      <c r="I50" s="7">
        <v>0.18162056519658179</v>
      </c>
      <c r="J50" s="7">
        <v>0.22240924818104171</v>
      </c>
      <c r="K50" s="4">
        <v>6.22833340008685</v>
      </c>
      <c r="L50" s="3" t="s">
        <v>43</v>
      </c>
      <c r="P50" s="4">
        <v>66.441203199889799</v>
      </c>
    </row>
    <row r="51" spans="1:17" ht="15.75" x14ac:dyDescent="0.25">
      <c r="A51" s="1" t="s">
        <v>12</v>
      </c>
      <c r="B51" s="1" t="s">
        <v>26</v>
      </c>
      <c r="C51" s="1" t="s">
        <v>21</v>
      </c>
      <c r="D51" s="1" t="s">
        <v>39</v>
      </c>
      <c r="E51" s="1" t="s">
        <v>34</v>
      </c>
      <c r="F51" s="1" t="s">
        <v>31</v>
      </c>
      <c r="G51" s="4">
        <v>517.40941364763421</v>
      </c>
      <c r="H51" s="4">
        <v>50.260037837558137</v>
      </c>
      <c r="I51" s="7">
        <v>0.1099529847786735</v>
      </c>
      <c r="J51" s="7">
        <v>0.28723206367206783</v>
      </c>
      <c r="K51" s="4">
        <v>6.1531139261115326</v>
      </c>
      <c r="L51" s="3" t="s">
        <v>40</v>
      </c>
      <c r="P51" s="4">
        <v>50.260037837558137</v>
      </c>
    </row>
    <row r="52" spans="1:17" ht="15.75" x14ac:dyDescent="0.25">
      <c r="A52" s="1" t="s">
        <v>12</v>
      </c>
      <c r="B52" s="1" t="s">
        <v>13</v>
      </c>
      <c r="C52" s="1" t="s">
        <v>14</v>
      </c>
      <c r="D52" s="1" t="s">
        <v>39</v>
      </c>
      <c r="E52" s="1" t="s">
        <v>30</v>
      </c>
      <c r="F52" s="1" t="s">
        <v>35</v>
      </c>
      <c r="G52" s="4">
        <v>102.4862170798214</v>
      </c>
      <c r="H52" s="4">
        <v>104.4033833317924</v>
      </c>
      <c r="I52" s="7">
        <v>8.0734320156911996E-2</v>
      </c>
      <c r="J52" s="7">
        <v>0.1191701714644849</v>
      </c>
      <c r="K52" s="4">
        <v>7.2391498228691544</v>
      </c>
      <c r="L52" s="3" t="s">
        <v>36</v>
      </c>
      <c r="P52" s="4">
        <v>104.4033833317924</v>
      </c>
    </row>
    <row r="53" spans="1:17" ht="15.75" x14ac:dyDescent="0.25">
      <c r="A53" s="1" t="s">
        <v>12</v>
      </c>
      <c r="B53" s="1" t="s">
        <v>13</v>
      </c>
      <c r="C53" s="1" t="s">
        <v>14</v>
      </c>
      <c r="D53" s="1" t="s">
        <v>22</v>
      </c>
      <c r="E53" s="1" t="s">
        <v>30</v>
      </c>
      <c r="F53" s="1" t="s">
        <v>17</v>
      </c>
      <c r="G53" s="4">
        <v>795.57880894830328</v>
      </c>
      <c r="H53" s="4">
        <v>28.582150038777751</v>
      </c>
      <c r="I53" s="7">
        <v>0.1793008408072676</v>
      </c>
      <c r="J53" s="7">
        <v>0</v>
      </c>
      <c r="K53" s="4">
        <v>1.787107359484855</v>
      </c>
      <c r="L53" s="3" t="s">
        <v>24</v>
      </c>
      <c r="P53" s="4">
        <v>28.582150038777751</v>
      </c>
    </row>
    <row r="54" spans="1:17" ht="15.75" x14ac:dyDescent="0.25">
      <c r="A54" s="1" t="s">
        <v>12</v>
      </c>
      <c r="B54" s="1" t="s">
        <v>26</v>
      </c>
      <c r="C54" s="1" t="s">
        <v>14</v>
      </c>
      <c r="D54" s="1" t="s">
        <v>39</v>
      </c>
      <c r="E54" s="1" t="s">
        <v>34</v>
      </c>
      <c r="F54" s="1" t="s">
        <v>23</v>
      </c>
      <c r="G54" s="4">
        <v>338.30127942136238</v>
      </c>
      <c r="H54" s="4">
        <v>45.530744293482982</v>
      </c>
      <c r="I54" s="7">
        <v>0.20665166873281329</v>
      </c>
      <c r="J54" s="7">
        <v>0.1240867338446302</v>
      </c>
      <c r="K54" s="4">
        <v>3.4872985094313931</v>
      </c>
      <c r="L54" s="3" t="s">
        <v>45</v>
      </c>
      <c r="P54" s="4">
        <v>45.530744293482982</v>
      </c>
    </row>
    <row r="55" spans="1:17" ht="15.75" x14ac:dyDescent="0.25">
      <c r="A55" s="1" t="s">
        <v>12</v>
      </c>
      <c r="B55" s="1" t="s">
        <v>20</v>
      </c>
      <c r="C55" s="1" t="s">
        <v>21</v>
      </c>
      <c r="D55" s="1" t="s">
        <v>27</v>
      </c>
      <c r="E55" s="1" t="s">
        <v>37</v>
      </c>
      <c r="F55" s="1" t="s">
        <v>35</v>
      </c>
      <c r="G55" s="4">
        <v>602.65348662267127</v>
      </c>
      <c r="H55" s="4">
        <v>19.703055506282709</v>
      </c>
      <c r="I55" s="7">
        <v>6.8865024008970321E-2</v>
      </c>
      <c r="J55" s="7">
        <v>0.14230963443375971</v>
      </c>
      <c r="K55" s="4">
        <v>6.763279513898901</v>
      </c>
      <c r="L55" s="3" t="s">
        <v>38</v>
      </c>
      <c r="P55" s="4">
        <v>19.703055506282709</v>
      </c>
    </row>
    <row r="56" spans="1:17" ht="15.75" x14ac:dyDescent="0.25">
      <c r="A56" s="1" t="s">
        <v>12</v>
      </c>
      <c r="B56" s="1" t="s">
        <v>20</v>
      </c>
      <c r="C56" s="1" t="s">
        <v>14</v>
      </c>
      <c r="D56" s="1" t="s">
        <v>22</v>
      </c>
      <c r="E56" s="1" t="s">
        <v>30</v>
      </c>
      <c r="F56" s="1" t="s">
        <v>23</v>
      </c>
      <c r="G56" s="4">
        <v>519.41550986960806</v>
      </c>
      <c r="H56" s="4">
        <v>41.069700958659581</v>
      </c>
      <c r="I56" s="7">
        <v>8.9593887482136245E-2</v>
      </c>
      <c r="J56" s="7">
        <v>0.11015853286516419</v>
      </c>
      <c r="K56" s="4">
        <v>4.9840547173667664</v>
      </c>
      <c r="L56" s="3" t="s">
        <v>36</v>
      </c>
      <c r="P56" s="4">
        <v>41.069700958659581</v>
      </c>
    </row>
    <row r="57" spans="1:17" ht="15.75" x14ac:dyDescent="0.25">
      <c r="A57" s="1" t="s">
        <v>12</v>
      </c>
      <c r="B57" s="1" t="s">
        <v>26</v>
      </c>
      <c r="C57" s="1" t="s">
        <v>21</v>
      </c>
      <c r="D57" s="1" t="s">
        <v>15</v>
      </c>
      <c r="E57" s="1" t="s">
        <v>30</v>
      </c>
      <c r="F57" s="1" t="s">
        <v>17</v>
      </c>
      <c r="G57" s="4">
        <v>434.46757068044627</v>
      </c>
      <c r="H57" s="4">
        <v>25.085224425760241</v>
      </c>
      <c r="I57" s="7">
        <v>0.1424801048510512</v>
      </c>
      <c r="J57" s="7">
        <v>0.38314587658543542</v>
      </c>
      <c r="K57" s="4">
        <v>3.277431597343472</v>
      </c>
      <c r="L57" s="3" t="s">
        <v>36</v>
      </c>
      <c r="P57" s="4">
        <v>25.085224425760241</v>
      </c>
    </row>
    <row r="58" spans="1:17" ht="15.75" x14ac:dyDescent="0.25">
      <c r="A58" s="1" t="s">
        <v>12</v>
      </c>
      <c r="B58" s="1" t="s">
        <v>26</v>
      </c>
      <c r="C58" s="1" t="s">
        <v>33</v>
      </c>
      <c r="D58" s="1" t="s">
        <v>27</v>
      </c>
      <c r="E58" s="1" t="s">
        <v>30</v>
      </c>
      <c r="F58" s="1" t="s">
        <v>35</v>
      </c>
      <c r="G58" s="4">
        <v>207.29701037357631</v>
      </c>
      <c r="H58" s="4">
        <v>57.706347594576727</v>
      </c>
      <c r="I58" s="7">
        <v>6.5354520236967292E-2</v>
      </c>
      <c r="J58" s="7">
        <v>0.15308243478952949</v>
      </c>
      <c r="K58" s="4">
        <v>6.0778200873693171</v>
      </c>
      <c r="L58" s="3" t="s">
        <v>45</v>
      </c>
      <c r="P58" s="4">
        <v>57.706347594576727</v>
      </c>
    </row>
    <row r="59" spans="1:17" ht="15.75" x14ac:dyDescent="0.25">
      <c r="A59" s="1" t="s">
        <v>12</v>
      </c>
      <c r="B59" s="1" t="s">
        <v>20</v>
      </c>
      <c r="C59" s="1" t="s">
        <v>14</v>
      </c>
      <c r="D59" s="1" t="s">
        <v>39</v>
      </c>
      <c r="E59" s="1" t="s">
        <v>16</v>
      </c>
      <c r="F59" s="1" t="s">
        <v>17</v>
      </c>
      <c r="G59" s="4">
        <v>501.02269132849221</v>
      </c>
      <c r="H59" s="4">
        <v>51.164174368920001</v>
      </c>
      <c r="I59" s="7">
        <v>0.14064310594194801</v>
      </c>
      <c r="J59" s="7">
        <v>0.1885460154747382</v>
      </c>
      <c r="K59" s="4">
        <v>3.2487634932304861</v>
      </c>
      <c r="L59" s="3" t="s">
        <v>38</v>
      </c>
      <c r="P59" s="4">
        <v>51.164174368920001</v>
      </c>
      <c r="Q59" s="9">
        <f>SUM(P38:P59)</f>
        <v>1160.6641025642589</v>
      </c>
    </row>
    <row r="60" spans="1:17" ht="15.75" x14ac:dyDescent="0.25">
      <c r="A60" s="1" t="s">
        <v>25</v>
      </c>
      <c r="B60" s="1" t="s">
        <v>26</v>
      </c>
      <c r="C60" s="1" t="s">
        <v>21</v>
      </c>
      <c r="D60" s="1" t="s">
        <v>27</v>
      </c>
      <c r="E60" s="1" t="s">
        <v>16</v>
      </c>
      <c r="F60" s="1" t="s">
        <v>17</v>
      </c>
      <c r="G60" s="4">
        <v>629.53770762013846</v>
      </c>
      <c r="H60" s="4">
        <v>43.145709669464608</v>
      </c>
      <c r="I60" s="7">
        <v>0.15415256215876391</v>
      </c>
      <c r="J60" s="7">
        <v>0.27472936051232622</v>
      </c>
      <c r="K60" s="4">
        <v>5.0104873994363661</v>
      </c>
      <c r="L60" s="3" t="s">
        <v>28</v>
      </c>
      <c r="P60" s="4">
        <v>43.145709669464608</v>
      </c>
    </row>
    <row r="61" spans="1:17" ht="15.75" x14ac:dyDescent="0.25">
      <c r="A61" s="1" t="s">
        <v>25</v>
      </c>
      <c r="B61" s="1" t="s">
        <v>26</v>
      </c>
      <c r="C61" s="1" t="s">
        <v>41</v>
      </c>
      <c r="D61" s="1" t="s">
        <v>15</v>
      </c>
      <c r="E61" s="1" t="s">
        <v>16</v>
      </c>
      <c r="F61" s="1" t="s">
        <v>23</v>
      </c>
      <c r="G61" s="4">
        <v>406.85404928594858</v>
      </c>
      <c r="H61" s="4">
        <v>49.469722491015659</v>
      </c>
      <c r="I61" s="7">
        <v>0.15677828200902999</v>
      </c>
      <c r="J61" s="7">
        <v>0.30987768519871911</v>
      </c>
      <c r="K61" s="4">
        <v>2.750715816324262</v>
      </c>
      <c r="L61" s="3" t="s">
        <v>32</v>
      </c>
      <c r="P61" s="4">
        <v>49.469722491015659</v>
      </c>
    </row>
    <row r="62" spans="1:17" ht="15.75" x14ac:dyDescent="0.25">
      <c r="A62" s="1" t="s">
        <v>25</v>
      </c>
      <c r="B62" s="1" t="s">
        <v>13</v>
      </c>
      <c r="C62" s="1" t="s">
        <v>33</v>
      </c>
      <c r="D62" s="1" t="s">
        <v>15</v>
      </c>
      <c r="E62" s="1" t="s">
        <v>34</v>
      </c>
      <c r="F62" s="1" t="s">
        <v>31</v>
      </c>
      <c r="G62" s="4">
        <v>548.39245431320683</v>
      </c>
      <c r="H62" s="4">
        <v>51.204604198820533</v>
      </c>
      <c r="I62" s="7">
        <v>0.1477000881746601</v>
      </c>
      <c r="J62" s="7">
        <v>0.28254163489880302</v>
      </c>
      <c r="K62" s="4">
        <v>1.931771658528755</v>
      </c>
      <c r="L62" s="3" t="s">
        <v>42</v>
      </c>
      <c r="P62" s="4">
        <v>51.204604198820533</v>
      </c>
    </row>
    <row r="63" spans="1:17" ht="15.75" x14ac:dyDescent="0.25">
      <c r="A63" s="1" t="s">
        <v>25</v>
      </c>
      <c r="B63" s="1" t="s">
        <v>26</v>
      </c>
      <c r="C63" s="1" t="s">
        <v>33</v>
      </c>
      <c r="D63" s="1" t="s">
        <v>27</v>
      </c>
      <c r="E63" s="1" t="s">
        <v>34</v>
      </c>
      <c r="F63" s="1" t="s">
        <v>23</v>
      </c>
      <c r="G63" s="4">
        <v>117.3439510684404</v>
      </c>
      <c r="H63" s="4">
        <v>99.264842249705723</v>
      </c>
      <c r="I63" s="7">
        <v>0.1325695625652899</v>
      </c>
      <c r="J63" s="7">
        <v>0.28135096360006379</v>
      </c>
      <c r="K63" s="4">
        <v>7.5553536437970177</v>
      </c>
      <c r="L63" s="3" t="s">
        <v>43</v>
      </c>
      <c r="P63" s="4">
        <v>99.264842249705723</v>
      </c>
    </row>
    <row r="64" spans="1:17" ht="15.75" x14ac:dyDescent="0.25">
      <c r="A64" s="1" t="s">
        <v>25</v>
      </c>
      <c r="B64" s="1" t="s">
        <v>20</v>
      </c>
      <c r="C64" s="1" t="s">
        <v>41</v>
      </c>
      <c r="D64" s="1" t="s">
        <v>27</v>
      </c>
      <c r="E64" s="1" t="s">
        <v>30</v>
      </c>
      <c r="F64" s="1" t="s">
        <v>35</v>
      </c>
      <c r="G64" s="4">
        <v>155.01643349739351</v>
      </c>
      <c r="H64" s="4">
        <v>46.152780704377548</v>
      </c>
      <c r="I64" s="7">
        <v>8.4236537767982719E-2</v>
      </c>
      <c r="J64" s="7">
        <v>0.33054788071543301</v>
      </c>
      <c r="K64" s="4">
        <v>5.6646280239591844</v>
      </c>
      <c r="L64" s="3" t="s">
        <v>28</v>
      </c>
      <c r="P64" s="4">
        <v>46.152780704377548</v>
      </c>
    </row>
    <row r="65" spans="1:17" ht="15.75" x14ac:dyDescent="0.25">
      <c r="A65" s="1" t="s">
        <v>25</v>
      </c>
      <c r="B65" s="1" t="s">
        <v>20</v>
      </c>
      <c r="C65" s="1" t="s">
        <v>41</v>
      </c>
      <c r="D65" s="1" t="s">
        <v>27</v>
      </c>
      <c r="E65" s="1" t="s">
        <v>16</v>
      </c>
      <c r="F65" s="1" t="s">
        <v>23</v>
      </c>
      <c r="G65" s="4">
        <v>793.12975378431088</v>
      </c>
      <c r="H65" s="4">
        <v>65.820638940860931</v>
      </c>
      <c r="I65" s="7">
        <v>0.21573292833367541</v>
      </c>
      <c r="J65" s="7">
        <v>0.20969959649927181</v>
      </c>
      <c r="K65" s="4">
        <v>9.1214958497639742</v>
      </c>
      <c r="L65" s="3" t="s">
        <v>28</v>
      </c>
      <c r="P65" s="4">
        <v>65.820638940860931</v>
      </c>
    </row>
    <row r="66" spans="1:17" ht="15.75" x14ac:dyDescent="0.25">
      <c r="A66" s="1" t="s">
        <v>25</v>
      </c>
      <c r="B66" s="1" t="s">
        <v>26</v>
      </c>
      <c r="C66" s="1" t="s">
        <v>21</v>
      </c>
      <c r="D66" s="1" t="s">
        <v>15</v>
      </c>
      <c r="E66" s="1" t="s">
        <v>37</v>
      </c>
      <c r="F66" s="1" t="s">
        <v>35</v>
      </c>
      <c r="G66" s="4">
        <v>575.13960366913443</v>
      </c>
      <c r="H66" s="4">
        <v>38.674045407944561</v>
      </c>
      <c r="I66" s="7">
        <v>4.6112761103534697E-2</v>
      </c>
      <c r="J66" s="7">
        <v>0.27916626939629358</v>
      </c>
      <c r="K66" s="4">
        <v>6.3721029199968786</v>
      </c>
      <c r="L66" s="3" t="s">
        <v>43</v>
      </c>
      <c r="P66" s="4">
        <v>38.674045407944561</v>
      </c>
    </row>
    <row r="67" spans="1:17" ht="15.75" x14ac:dyDescent="0.25">
      <c r="A67" s="1" t="s">
        <v>25</v>
      </c>
      <c r="B67" s="1" t="s">
        <v>20</v>
      </c>
      <c r="C67" s="1" t="s">
        <v>21</v>
      </c>
      <c r="D67" s="1" t="s">
        <v>27</v>
      </c>
      <c r="E67" s="1" t="s">
        <v>37</v>
      </c>
      <c r="F67" s="1" t="s">
        <v>23</v>
      </c>
      <c r="G67" s="4">
        <v>288.45781420882003</v>
      </c>
      <c r="H67" s="4">
        <v>59.471848612703631</v>
      </c>
      <c r="I67" s="7">
        <v>6.7419982619709148E-2</v>
      </c>
      <c r="J67" s="7">
        <v>0.13228382884878881</v>
      </c>
      <c r="K67" s="4">
        <v>6.4350845115919242</v>
      </c>
      <c r="L67" s="3" t="s">
        <v>45</v>
      </c>
      <c r="P67" s="4">
        <v>59.471848612703631</v>
      </c>
    </row>
    <row r="68" spans="1:17" ht="15.75" x14ac:dyDescent="0.25">
      <c r="A68" s="1" t="s">
        <v>25</v>
      </c>
      <c r="B68" s="1" t="s">
        <v>26</v>
      </c>
      <c r="C68" s="1" t="s">
        <v>41</v>
      </c>
      <c r="D68" s="1" t="s">
        <v>39</v>
      </c>
      <c r="E68" s="1" t="s">
        <v>16</v>
      </c>
      <c r="F68" s="1" t="s">
        <v>23</v>
      </c>
      <c r="G68" s="4">
        <v>711.42444524378311</v>
      </c>
      <c r="H68" s="4">
        <v>23.590867738314468</v>
      </c>
      <c r="I68" s="7">
        <v>6.7333538371314408E-2</v>
      </c>
      <c r="J68" s="7">
        <v>5.9253622562344482E-2</v>
      </c>
      <c r="K68" s="4">
        <v>3.1202404273452902</v>
      </c>
      <c r="L68" s="3" t="s">
        <v>43</v>
      </c>
      <c r="P68" s="4">
        <v>23.590867738314468</v>
      </c>
    </row>
    <row r="69" spans="1:17" ht="15.75" x14ac:dyDescent="0.25">
      <c r="A69" s="1" t="s">
        <v>25</v>
      </c>
      <c r="B69" s="1" t="s">
        <v>26</v>
      </c>
      <c r="C69" s="1" t="s">
        <v>21</v>
      </c>
      <c r="D69" s="1" t="s">
        <v>15</v>
      </c>
      <c r="E69" s="1" t="s">
        <v>37</v>
      </c>
      <c r="F69" s="1" t="s">
        <v>31</v>
      </c>
      <c r="G69" s="4">
        <v>568.72365791369225</v>
      </c>
      <c r="H69" s="4">
        <v>60.438831312337953</v>
      </c>
      <c r="I69" s="7">
        <v>0.18827271201405479</v>
      </c>
      <c r="J69" s="7">
        <v>0.1281555778747564</v>
      </c>
      <c r="K69" s="4">
        <v>3.9722661653266131</v>
      </c>
      <c r="L69" s="3" t="s">
        <v>40</v>
      </c>
      <c r="P69" s="4">
        <v>60.438831312337953</v>
      </c>
    </row>
    <row r="70" spans="1:17" ht="15.75" x14ac:dyDescent="0.25">
      <c r="A70" s="1" t="s">
        <v>25</v>
      </c>
      <c r="B70" s="1" t="s">
        <v>26</v>
      </c>
      <c r="C70" s="1" t="s">
        <v>41</v>
      </c>
      <c r="D70" s="1" t="s">
        <v>22</v>
      </c>
      <c r="E70" s="1" t="s">
        <v>16</v>
      </c>
      <c r="F70" s="1" t="s">
        <v>23</v>
      </c>
      <c r="G70" s="4">
        <v>147.39196892745321</v>
      </c>
      <c r="H70" s="4">
        <v>55.939693464663719</v>
      </c>
      <c r="I70" s="7">
        <v>0.12024908554804779</v>
      </c>
      <c r="J70" s="7">
        <v>0.17865528482881529</v>
      </c>
      <c r="K70" s="4">
        <v>2.8815729562220969</v>
      </c>
      <c r="L70" s="3" t="s">
        <v>40</v>
      </c>
      <c r="P70" s="4">
        <v>55.939693464663719</v>
      </c>
    </row>
    <row r="71" spans="1:17" ht="15.75" x14ac:dyDescent="0.25">
      <c r="A71" s="1" t="s">
        <v>25</v>
      </c>
      <c r="B71" s="1" t="s">
        <v>20</v>
      </c>
      <c r="C71" s="1" t="s">
        <v>33</v>
      </c>
      <c r="D71" s="1" t="s">
        <v>39</v>
      </c>
      <c r="E71" s="1" t="s">
        <v>37</v>
      </c>
      <c r="F71" s="1" t="s">
        <v>17</v>
      </c>
      <c r="G71" s="4">
        <v>622.33525776817362</v>
      </c>
      <c r="H71" s="4">
        <v>54.645073943220069</v>
      </c>
      <c r="I71" s="7">
        <v>0.15162326302755741</v>
      </c>
      <c r="J71" s="7">
        <v>0.18400614700365731</v>
      </c>
      <c r="K71" s="4">
        <v>6.0080930310356884</v>
      </c>
      <c r="L71" s="3" t="s">
        <v>43</v>
      </c>
      <c r="P71" s="4">
        <v>54.645073943220069</v>
      </c>
    </row>
    <row r="72" spans="1:17" ht="15.75" x14ac:dyDescent="0.25">
      <c r="A72" s="1" t="s">
        <v>25</v>
      </c>
      <c r="B72" s="1" t="s">
        <v>20</v>
      </c>
      <c r="C72" s="1" t="s">
        <v>33</v>
      </c>
      <c r="D72" s="1" t="s">
        <v>22</v>
      </c>
      <c r="E72" s="1" t="s">
        <v>16</v>
      </c>
      <c r="F72" s="1" t="s">
        <v>23</v>
      </c>
      <c r="G72" s="4">
        <v>706.19990449919021</v>
      </c>
      <c r="H72" s="4">
        <v>55.861449465973621</v>
      </c>
      <c r="I72" s="7">
        <v>2.403150170229933E-2</v>
      </c>
      <c r="J72" s="7">
        <v>0.19809837920973111</v>
      </c>
      <c r="K72" s="4">
        <v>3.939484763255118</v>
      </c>
      <c r="L72" s="3" t="s">
        <v>45</v>
      </c>
      <c r="P72" s="4">
        <v>55.861449465973621</v>
      </c>
    </row>
    <row r="73" spans="1:17" ht="15.75" x14ac:dyDescent="0.25">
      <c r="A73" s="1" t="s">
        <v>25</v>
      </c>
      <c r="B73" s="1" t="s">
        <v>13</v>
      </c>
      <c r="C73" s="1" t="s">
        <v>41</v>
      </c>
      <c r="D73" s="1" t="s">
        <v>27</v>
      </c>
      <c r="E73" s="1" t="s">
        <v>30</v>
      </c>
      <c r="F73" s="1" t="s">
        <v>23</v>
      </c>
      <c r="G73" s="4">
        <v>438.15752482975711</v>
      </c>
      <c r="H73" s="4">
        <v>59.476658418235751</v>
      </c>
      <c r="I73" s="7">
        <v>6.4616526719060957E-2</v>
      </c>
      <c r="J73" s="7">
        <v>0.1711341361079862</v>
      </c>
      <c r="K73" s="4">
        <v>2.9295153551612518</v>
      </c>
      <c r="L73" s="3" t="s">
        <v>24</v>
      </c>
      <c r="P73" s="4">
        <v>59.476658418235751</v>
      </c>
    </row>
    <row r="74" spans="1:17" ht="15.75" x14ac:dyDescent="0.25">
      <c r="A74" s="1" t="s">
        <v>25</v>
      </c>
      <c r="B74" s="1" t="s">
        <v>20</v>
      </c>
      <c r="C74" s="1" t="s">
        <v>14</v>
      </c>
      <c r="D74" s="1" t="s">
        <v>22</v>
      </c>
      <c r="E74" s="1" t="s">
        <v>34</v>
      </c>
      <c r="F74" s="1" t="s">
        <v>31</v>
      </c>
      <c r="G74" s="4">
        <v>404.16515243094199</v>
      </c>
      <c r="H74" s="4">
        <v>30.506366595453571</v>
      </c>
      <c r="I74" s="7">
        <v>5.3653476421095858E-2</v>
      </c>
      <c r="J74" s="7">
        <v>0.25193465142411731</v>
      </c>
      <c r="K74" s="4">
        <v>8.929450265832779</v>
      </c>
      <c r="L74" s="3" t="s">
        <v>36</v>
      </c>
      <c r="P74" s="4">
        <v>30.506366595453571</v>
      </c>
    </row>
    <row r="75" spans="1:17" ht="15.75" x14ac:dyDescent="0.25">
      <c r="A75" s="1" t="s">
        <v>25</v>
      </c>
      <c r="B75" s="1" t="s">
        <v>13</v>
      </c>
      <c r="C75" s="1" t="s">
        <v>33</v>
      </c>
      <c r="D75" s="1" t="s">
        <v>15</v>
      </c>
      <c r="E75" s="1" t="s">
        <v>30</v>
      </c>
      <c r="F75" s="1" t="s">
        <v>31</v>
      </c>
      <c r="G75" s="4">
        <v>572.32720500952678</v>
      </c>
      <c r="H75" s="4">
        <v>45.092237679942592</v>
      </c>
      <c r="I75" s="7">
        <v>7.7997775665150815E-2</v>
      </c>
      <c r="J75" s="7">
        <v>0.20976760985488321</v>
      </c>
      <c r="K75" s="4">
        <v>3.9389977047789451</v>
      </c>
      <c r="L75" s="3" t="s">
        <v>36</v>
      </c>
      <c r="P75" s="4">
        <v>45.092237679942592</v>
      </c>
    </row>
    <row r="76" spans="1:17" ht="15.75" x14ac:dyDescent="0.25">
      <c r="A76" s="1" t="s">
        <v>25</v>
      </c>
      <c r="B76" s="1" t="s">
        <v>26</v>
      </c>
      <c r="C76" s="1" t="s">
        <v>41</v>
      </c>
      <c r="D76" s="1" t="s">
        <v>22</v>
      </c>
      <c r="E76" s="1" t="s">
        <v>16</v>
      </c>
      <c r="F76" s="1" t="s">
        <v>17</v>
      </c>
      <c r="G76" s="4">
        <v>456.06562243249761</v>
      </c>
      <c r="H76" s="4">
        <v>62.513346955300122</v>
      </c>
      <c r="I76" s="7">
        <v>0.1056758672625624</v>
      </c>
      <c r="J76" s="7">
        <v>0.11602781578192239</v>
      </c>
      <c r="K76" s="4">
        <v>4.7441648170384667</v>
      </c>
      <c r="L76" s="3" t="s">
        <v>28</v>
      </c>
      <c r="P76" s="4">
        <v>62.513346955300122</v>
      </c>
    </row>
    <row r="77" spans="1:17" ht="15.75" x14ac:dyDescent="0.25">
      <c r="A77" s="1" t="s">
        <v>25</v>
      </c>
      <c r="B77" s="1" t="s">
        <v>20</v>
      </c>
      <c r="C77" s="1" t="s">
        <v>41</v>
      </c>
      <c r="D77" s="1" t="s">
        <v>22</v>
      </c>
      <c r="E77" s="1" t="s">
        <v>37</v>
      </c>
      <c r="F77" s="1" t="s">
        <v>23</v>
      </c>
      <c r="G77" s="4">
        <v>396.34595634527051</v>
      </c>
      <c r="H77" s="4">
        <v>59.649448304863697</v>
      </c>
      <c r="I77" s="7">
        <v>3.8109225058657548E-2</v>
      </c>
      <c r="J77" s="7">
        <v>0.14742449783192391</v>
      </c>
      <c r="K77" s="4">
        <v>5.4069272717344461</v>
      </c>
      <c r="L77" s="3" t="s">
        <v>45</v>
      </c>
      <c r="P77" s="4">
        <v>59.649448304863697</v>
      </c>
    </row>
    <row r="78" spans="1:17" ht="15.75" x14ac:dyDescent="0.25">
      <c r="A78" s="1" t="s">
        <v>25</v>
      </c>
      <c r="B78" s="1" t="s">
        <v>26</v>
      </c>
      <c r="C78" s="1" t="s">
        <v>41</v>
      </c>
      <c r="D78" s="1" t="s">
        <v>15</v>
      </c>
      <c r="E78" s="1" t="s">
        <v>16</v>
      </c>
      <c r="F78" s="1" t="s">
        <v>23</v>
      </c>
      <c r="G78" s="4">
        <v>693.72899810657782</v>
      </c>
      <c r="H78" s="4">
        <v>67.127975886469443</v>
      </c>
      <c r="I78" s="7">
        <v>7.5349953267058359E-2</v>
      </c>
      <c r="J78" s="7">
        <v>0.24919191715065059</v>
      </c>
      <c r="K78" s="4">
        <v>7.9598882777800517</v>
      </c>
      <c r="L78" s="3" t="s">
        <v>45</v>
      </c>
      <c r="P78" s="4">
        <v>67.127975886469443</v>
      </c>
      <c r="Q78" s="9">
        <f>SUM(P60:P78)</f>
        <v>1028.046142039668</v>
      </c>
    </row>
    <row r="79" spans="1:17" ht="15.75" x14ac:dyDescent="0.25">
      <c r="A79" s="1" t="s">
        <v>29</v>
      </c>
      <c r="B79" s="1" t="s">
        <v>26</v>
      </c>
      <c r="C79" s="1" t="s">
        <v>14</v>
      </c>
      <c r="D79" s="1" t="s">
        <v>22</v>
      </c>
      <c r="E79" s="1" t="s">
        <v>30</v>
      </c>
      <c r="F79" s="1" t="s">
        <v>31</v>
      </c>
      <c r="G79" s="4">
        <v>804.60597128160509</v>
      </c>
      <c r="H79" s="4">
        <v>33.95445461556762</v>
      </c>
      <c r="I79" s="7">
        <v>0.15269010260174509</v>
      </c>
      <c r="J79" s="7">
        <v>0.26103702654334648</v>
      </c>
      <c r="K79" s="4">
        <v>5.0939611875294837</v>
      </c>
      <c r="L79" s="3" t="s">
        <v>32</v>
      </c>
      <c r="P79" s="4">
        <v>33.95445461556762</v>
      </c>
    </row>
    <row r="80" spans="1:17" ht="15.75" x14ac:dyDescent="0.25">
      <c r="A80" s="1" t="s">
        <v>29</v>
      </c>
      <c r="B80" s="1" t="s">
        <v>13</v>
      </c>
      <c r="C80" s="1" t="s">
        <v>33</v>
      </c>
      <c r="D80" s="1" t="s">
        <v>27</v>
      </c>
      <c r="E80" s="1" t="s">
        <v>37</v>
      </c>
      <c r="F80" s="1" t="s">
        <v>31</v>
      </c>
      <c r="G80" s="4">
        <v>407.31646143750748</v>
      </c>
      <c r="H80" s="4">
        <v>11.624575694019169</v>
      </c>
      <c r="I80" s="7">
        <v>0.12854452553465839</v>
      </c>
      <c r="J80" s="7">
        <v>0.17823187967727799</v>
      </c>
      <c r="K80" s="4">
        <v>6.4232297561777791</v>
      </c>
      <c r="L80" s="3" t="s">
        <v>32</v>
      </c>
      <c r="P80" s="4">
        <v>11.624575694019169</v>
      </c>
    </row>
    <row r="81" spans="1:16" ht="15.75" x14ac:dyDescent="0.25">
      <c r="A81" s="1" t="s">
        <v>29</v>
      </c>
      <c r="B81" s="1" t="s">
        <v>26</v>
      </c>
      <c r="C81" s="1" t="s">
        <v>33</v>
      </c>
      <c r="D81" s="1" t="s">
        <v>15</v>
      </c>
      <c r="E81" s="1" t="s">
        <v>37</v>
      </c>
      <c r="F81" s="1" t="s">
        <v>35</v>
      </c>
      <c r="G81" s="4">
        <v>562.84946651905477</v>
      </c>
      <c r="H81" s="4">
        <v>26.626439247609358</v>
      </c>
      <c r="I81" s="7">
        <v>8.8159069662999565E-2</v>
      </c>
      <c r="J81" s="7">
        <v>0.1689733243406544</v>
      </c>
      <c r="K81" s="4">
        <v>5.231349268585717</v>
      </c>
      <c r="L81" s="3" t="s">
        <v>42</v>
      </c>
      <c r="P81" s="4">
        <v>26.626439247609358</v>
      </c>
    </row>
    <row r="82" spans="1:16" ht="15.75" x14ac:dyDescent="0.25">
      <c r="A82" s="1" t="s">
        <v>29</v>
      </c>
      <c r="B82" s="1" t="s">
        <v>13</v>
      </c>
      <c r="C82" s="1" t="s">
        <v>41</v>
      </c>
      <c r="D82" s="1" t="s">
        <v>15</v>
      </c>
      <c r="E82" s="1" t="s">
        <v>30</v>
      </c>
      <c r="F82" s="1" t="s">
        <v>31</v>
      </c>
      <c r="G82" s="4">
        <v>513.50564093758476</v>
      </c>
      <c r="H82" s="4">
        <v>78.05588621872198</v>
      </c>
      <c r="I82" s="7">
        <v>0.13431300951872571</v>
      </c>
      <c r="J82" s="7">
        <v>0.11817793167665271</v>
      </c>
      <c r="K82" s="4">
        <v>4.5020717030418531</v>
      </c>
      <c r="L82" s="3" t="s">
        <v>43</v>
      </c>
      <c r="P82" s="4">
        <v>78.05588621872198</v>
      </c>
    </row>
    <row r="83" spans="1:16" ht="15.75" x14ac:dyDescent="0.25">
      <c r="A83" s="1" t="s">
        <v>29</v>
      </c>
      <c r="B83" s="1" t="s">
        <v>20</v>
      </c>
      <c r="C83" s="1" t="s">
        <v>33</v>
      </c>
      <c r="D83" s="1" t="s">
        <v>27</v>
      </c>
      <c r="E83" s="1" t="s">
        <v>16</v>
      </c>
      <c r="F83" s="1" t="s">
        <v>17</v>
      </c>
      <c r="G83" s="4">
        <v>522.18451794197324</v>
      </c>
      <c r="H83" s="4">
        <v>93.809112516199576</v>
      </c>
      <c r="I83" s="7">
        <v>0.15444752984836829</v>
      </c>
      <c r="J83" s="7">
        <v>7.8581138721226795E-2</v>
      </c>
      <c r="K83" s="4">
        <v>7.7372631150646978</v>
      </c>
      <c r="L83" s="3" t="s">
        <v>24</v>
      </c>
      <c r="P83" s="4">
        <v>93.809112516199576</v>
      </c>
    </row>
    <row r="84" spans="1:16" ht="15.75" x14ac:dyDescent="0.25">
      <c r="A84" s="1" t="s">
        <v>29</v>
      </c>
      <c r="B84" s="1" t="s">
        <v>20</v>
      </c>
      <c r="C84" s="1" t="s">
        <v>41</v>
      </c>
      <c r="D84" s="1" t="s">
        <v>22</v>
      </c>
      <c r="E84" s="1" t="s">
        <v>16</v>
      </c>
      <c r="F84" s="1" t="s">
        <v>17</v>
      </c>
      <c r="G84" s="4">
        <v>269.80128451553952</v>
      </c>
      <c r="H84" s="4">
        <v>30.189273497386228</v>
      </c>
      <c r="I84" s="7">
        <v>0.10321400095477309</v>
      </c>
      <c r="J84" s="7">
        <v>0.31581108735000679</v>
      </c>
      <c r="K84" s="4">
        <v>3.070153078839791</v>
      </c>
      <c r="L84" s="3" t="s">
        <v>43</v>
      </c>
      <c r="P84" s="4">
        <v>30.189273497386228</v>
      </c>
    </row>
    <row r="85" spans="1:16" ht="15.75" x14ac:dyDescent="0.25">
      <c r="A85" s="1" t="s">
        <v>29</v>
      </c>
      <c r="B85" s="1" t="s">
        <v>20</v>
      </c>
      <c r="C85" s="1" t="s">
        <v>14</v>
      </c>
      <c r="D85" s="1" t="s">
        <v>27</v>
      </c>
      <c r="E85" s="1" t="s">
        <v>34</v>
      </c>
      <c r="F85" s="1" t="s">
        <v>23</v>
      </c>
      <c r="G85" s="4">
        <v>497.30055505241319</v>
      </c>
      <c r="H85" s="4">
        <v>28.753925725477899</v>
      </c>
      <c r="I85" s="7">
        <v>0.1022785919951907</v>
      </c>
      <c r="J85" s="7">
        <v>0.20758045581937271</v>
      </c>
      <c r="K85" s="4">
        <v>4.4611863311108841</v>
      </c>
      <c r="L85" s="3" t="s">
        <v>32</v>
      </c>
      <c r="P85" s="4">
        <v>28.753925725477899</v>
      </c>
    </row>
    <row r="86" spans="1:16" ht="15.75" x14ac:dyDescent="0.25">
      <c r="A86" s="1" t="s">
        <v>29</v>
      </c>
      <c r="B86" s="1" t="s">
        <v>20</v>
      </c>
      <c r="C86" s="1" t="s">
        <v>21</v>
      </c>
      <c r="D86" s="1" t="s">
        <v>15</v>
      </c>
      <c r="E86" s="1" t="s">
        <v>30</v>
      </c>
      <c r="F86" s="1" t="s">
        <v>31</v>
      </c>
      <c r="G86" s="4">
        <v>541.77271900095104</v>
      </c>
      <c r="H86" s="4">
        <v>34.334934153275263</v>
      </c>
      <c r="I86" s="7">
        <v>0</v>
      </c>
      <c r="J86" s="7">
        <v>0.11745028032074881</v>
      </c>
      <c r="K86" s="4">
        <v>8.2572310911425841</v>
      </c>
      <c r="L86" s="3" t="s">
        <v>28</v>
      </c>
      <c r="P86" s="4">
        <v>34.334934153275263</v>
      </c>
    </row>
    <row r="87" spans="1:16" ht="15.75" x14ac:dyDescent="0.25">
      <c r="A87" s="1" t="s">
        <v>29</v>
      </c>
      <c r="B87" s="1" t="s">
        <v>13</v>
      </c>
      <c r="C87" s="1" t="s">
        <v>14</v>
      </c>
      <c r="D87" s="1" t="s">
        <v>27</v>
      </c>
      <c r="E87" s="1" t="s">
        <v>30</v>
      </c>
      <c r="F87" s="1" t="s">
        <v>17</v>
      </c>
      <c r="G87" s="4">
        <v>234.36279022031391</v>
      </c>
      <c r="H87" s="4">
        <v>66.27034434739339</v>
      </c>
      <c r="I87" s="7">
        <v>6.6910676761580606E-2</v>
      </c>
      <c r="J87" s="7">
        <v>0.24129314542756239</v>
      </c>
      <c r="K87" s="4">
        <v>1.5932351212896909</v>
      </c>
      <c r="L87" s="3" t="s">
        <v>45</v>
      </c>
      <c r="P87" s="4">
        <v>66.27034434739339</v>
      </c>
    </row>
    <row r="88" spans="1:16" ht="15.75" x14ac:dyDescent="0.25">
      <c r="A88" s="1" t="s">
        <v>29</v>
      </c>
      <c r="B88" s="1" t="s">
        <v>26</v>
      </c>
      <c r="C88" s="1" t="s">
        <v>41</v>
      </c>
      <c r="D88" s="1" t="s">
        <v>27</v>
      </c>
      <c r="E88" s="1" t="s">
        <v>16</v>
      </c>
      <c r="F88" s="1" t="s">
        <v>35</v>
      </c>
      <c r="G88" s="4">
        <v>647.69331599908207</v>
      </c>
      <c r="H88" s="4">
        <v>54.549198692082591</v>
      </c>
      <c r="I88" s="7">
        <v>6.037396307836497E-2</v>
      </c>
      <c r="J88" s="7">
        <v>0.11777796044335689</v>
      </c>
      <c r="K88" s="4">
        <v>5.7681308978786143</v>
      </c>
      <c r="L88" s="3" t="s">
        <v>32</v>
      </c>
      <c r="P88" s="4">
        <v>54.549198692082591</v>
      </c>
    </row>
    <row r="89" spans="1:16" ht="15.75" x14ac:dyDescent="0.25">
      <c r="A89" s="1" t="s">
        <v>29</v>
      </c>
      <c r="B89" s="1" t="s">
        <v>20</v>
      </c>
      <c r="C89" s="1" t="s">
        <v>41</v>
      </c>
      <c r="D89" s="1" t="s">
        <v>39</v>
      </c>
      <c r="E89" s="1" t="s">
        <v>30</v>
      </c>
      <c r="F89" s="1" t="s">
        <v>31</v>
      </c>
      <c r="G89" s="4">
        <v>534.27365623799415</v>
      </c>
      <c r="H89" s="4">
        <v>76.142855085648563</v>
      </c>
      <c r="I89" s="7">
        <v>9.4263177926655062E-2</v>
      </c>
      <c r="J89" s="7">
        <v>0.22436872114919121</v>
      </c>
      <c r="K89" s="4">
        <v>4.9346105038118138</v>
      </c>
      <c r="L89" s="3" t="s">
        <v>18</v>
      </c>
      <c r="P89" s="4">
        <v>76.142855085648563</v>
      </c>
    </row>
    <row r="90" spans="1:16" ht="15.75" x14ac:dyDescent="0.25">
      <c r="A90" s="1" t="s">
        <v>29</v>
      </c>
      <c r="B90" s="1" t="s">
        <v>20</v>
      </c>
      <c r="C90" s="1" t="s">
        <v>14</v>
      </c>
      <c r="D90" s="1" t="s">
        <v>15</v>
      </c>
      <c r="E90" s="1" t="s">
        <v>16</v>
      </c>
      <c r="F90" s="1" t="s">
        <v>23</v>
      </c>
      <c r="G90" s="4">
        <v>476.8703435223519</v>
      </c>
      <c r="H90" s="4">
        <v>17.850335308775449</v>
      </c>
      <c r="I90" s="7">
        <v>0.12524936394902289</v>
      </c>
      <c r="J90" s="7">
        <v>0.2244966571108723</v>
      </c>
      <c r="K90" s="4">
        <v>1</v>
      </c>
      <c r="L90" s="3" t="s">
        <v>32</v>
      </c>
      <c r="P90" s="4">
        <v>17.850335308775449</v>
      </c>
    </row>
    <row r="91" spans="1:16" ht="15.75" x14ac:dyDescent="0.25">
      <c r="A91" s="1" t="s">
        <v>29</v>
      </c>
      <c r="B91" s="1" t="s">
        <v>20</v>
      </c>
      <c r="C91" s="1" t="s">
        <v>33</v>
      </c>
      <c r="D91" s="1" t="s">
        <v>39</v>
      </c>
      <c r="E91" s="1" t="s">
        <v>37</v>
      </c>
      <c r="F91" s="1" t="s">
        <v>23</v>
      </c>
      <c r="G91" s="4">
        <v>356.03115832105829</v>
      </c>
      <c r="H91" s="4">
        <v>65.636457435546205</v>
      </c>
      <c r="I91" s="7">
        <v>8.3274938207952592E-2</v>
      </c>
      <c r="J91" s="7">
        <v>0.22320499373576361</v>
      </c>
      <c r="K91" s="4">
        <v>6.3393450976600771</v>
      </c>
      <c r="L91" s="3" t="s">
        <v>43</v>
      </c>
      <c r="P91" s="4">
        <v>65.636457435546205</v>
      </c>
    </row>
    <row r="92" spans="1:16" ht="15.75" x14ac:dyDescent="0.25">
      <c r="A92" s="1" t="s">
        <v>29</v>
      </c>
      <c r="B92" s="1" t="s">
        <v>20</v>
      </c>
      <c r="C92" s="1" t="s">
        <v>14</v>
      </c>
      <c r="D92" s="1" t="s">
        <v>15</v>
      </c>
      <c r="E92" s="1" t="s">
        <v>16</v>
      </c>
      <c r="F92" s="1" t="s">
        <v>35</v>
      </c>
      <c r="G92" s="4">
        <v>686.25602382323973</v>
      </c>
      <c r="H92" s="4">
        <v>35.712971639472642</v>
      </c>
      <c r="I92" s="7">
        <v>7.5788296356687435E-2</v>
      </c>
      <c r="J92" s="7">
        <v>9.9747063536219122E-2</v>
      </c>
      <c r="K92" s="4">
        <v>3.4142543354753121</v>
      </c>
      <c r="L92" s="3" t="s">
        <v>40</v>
      </c>
      <c r="P92" s="4">
        <v>35.712971639472642</v>
      </c>
    </row>
    <row r="93" spans="1:16" ht="15.75" x14ac:dyDescent="0.25">
      <c r="A93" s="1" t="s">
        <v>29</v>
      </c>
      <c r="B93" s="1" t="s">
        <v>26</v>
      </c>
      <c r="C93" s="1" t="s">
        <v>33</v>
      </c>
      <c r="D93" s="1" t="s">
        <v>27</v>
      </c>
      <c r="E93" s="1" t="s">
        <v>30</v>
      </c>
      <c r="F93" s="1" t="s">
        <v>35</v>
      </c>
      <c r="G93" s="4">
        <v>260.75867518386588</v>
      </c>
      <c r="H93" s="4">
        <v>33.586353632965789</v>
      </c>
      <c r="I93" s="7">
        <v>4.878061793328551E-2</v>
      </c>
      <c r="J93" s="7">
        <v>0.24017117220989409</v>
      </c>
      <c r="K93" s="4">
        <v>5.4279598214684439</v>
      </c>
      <c r="L93" s="3" t="s">
        <v>24</v>
      </c>
      <c r="P93" s="4">
        <v>33.586353632965789</v>
      </c>
    </row>
    <row r="94" spans="1:16" ht="15.75" x14ac:dyDescent="0.25">
      <c r="A94" s="1" t="s">
        <v>29</v>
      </c>
      <c r="B94" s="1" t="s">
        <v>20</v>
      </c>
      <c r="C94" s="1" t="s">
        <v>33</v>
      </c>
      <c r="D94" s="1" t="s">
        <v>15</v>
      </c>
      <c r="E94" s="1" t="s">
        <v>16</v>
      </c>
      <c r="F94" s="1" t="s">
        <v>35</v>
      </c>
      <c r="G94" s="4">
        <v>812.92873116280123</v>
      </c>
      <c r="H94" s="4">
        <v>56.823039496332868</v>
      </c>
      <c r="I94" s="7">
        <v>0.10051165305097939</v>
      </c>
      <c r="J94" s="7">
        <v>0.29592708260852069</v>
      </c>
      <c r="K94" s="4">
        <v>7.7337485348890489</v>
      </c>
      <c r="L94" s="3" t="s">
        <v>32</v>
      </c>
      <c r="P94" s="4">
        <v>56.823039496332868</v>
      </c>
    </row>
    <row r="95" spans="1:16" ht="15.75" x14ac:dyDescent="0.25">
      <c r="A95" s="1" t="s">
        <v>29</v>
      </c>
      <c r="B95" s="1" t="s">
        <v>20</v>
      </c>
      <c r="C95" s="1" t="s">
        <v>21</v>
      </c>
      <c r="D95" s="1" t="s">
        <v>15</v>
      </c>
      <c r="E95" s="1" t="s">
        <v>30</v>
      </c>
      <c r="F95" s="1" t="s">
        <v>23</v>
      </c>
      <c r="G95" s="4">
        <v>0</v>
      </c>
      <c r="H95" s="4">
        <v>55.533815986600381</v>
      </c>
      <c r="I95" s="7">
        <v>5.0924567447602459E-2</v>
      </c>
      <c r="J95" s="7">
        <v>0.41531824575115572</v>
      </c>
      <c r="K95" s="4">
        <v>8.2899354270025682</v>
      </c>
      <c r="L95" s="3" t="s">
        <v>42</v>
      </c>
      <c r="P95" s="4">
        <v>55.533815986600381</v>
      </c>
    </row>
    <row r="96" spans="1:16" ht="15.75" x14ac:dyDescent="0.25">
      <c r="A96" s="1" t="s">
        <v>29</v>
      </c>
      <c r="B96" s="1" t="s">
        <v>13</v>
      </c>
      <c r="C96" s="1" t="s">
        <v>21</v>
      </c>
      <c r="D96" s="1" t="s">
        <v>39</v>
      </c>
      <c r="E96" s="1" t="s">
        <v>37</v>
      </c>
      <c r="F96" s="1" t="s">
        <v>23</v>
      </c>
      <c r="G96" s="4">
        <v>571.42251430234933</v>
      </c>
      <c r="H96" s="4">
        <v>32.856848871674337</v>
      </c>
      <c r="I96" s="7">
        <v>0.13310653372605241</v>
      </c>
      <c r="J96" s="7">
        <v>0.1400607354555978</v>
      </c>
      <c r="K96" s="4">
        <v>3.088919118799148</v>
      </c>
      <c r="L96" s="3" t="s">
        <v>38</v>
      </c>
      <c r="P96" s="4">
        <v>32.856848871674337</v>
      </c>
    </row>
    <row r="97" spans="1:17" ht="15.75" x14ac:dyDescent="0.25">
      <c r="A97" s="1" t="s">
        <v>29</v>
      </c>
      <c r="B97" s="1" t="s">
        <v>26</v>
      </c>
      <c r="C97" s="1" t="s">
        <v>33</v>
      </c>
      <c r="D97" s="1" t="s">
        <v>22</v>
      </c>
      <c r="E97" s="1" t="s">
        <v>30</v>
      </c>
      <c r="F97" s="1" t="s">
        <v>31</v>
      </c>
      <c r="G97" s="4">
        <v>399.64859128309268</v>
      </c>
      <c r="H97" s="4">
        <v>64.280009881841835</v>
      </c>
      <c r="I97" s="7">
        <v>2.395610023874908E-3</v>
      </c>
      <c r="J97" s="7">
        <v>0.21503937864762079</v>
      </c>
      <c r="K97" s="4">
        <v>2.1554925808046521</v>
      </c>
      <c r="L97" s="3" t="s">
        <v>40</v>
      </c>
      <c r="P97" s="4">
        <v>64.280009881841835</v>
      </c>
    </row>
    <row r="98" spans="1:17" ht="15.75" x14ac:dyDescent="0.25">
      <c r="A98" s="1" t="s">
        <v>29</v>
      </c>
      <c r="B98" s="1" t="s">
        <v>13</v>
      </c>
      <c r="C98" s="1" t="s">
        <v>41</v>
      </c>
      <c r="D98" s="1" t="s">
        <v>27</v>
      </c>
      <c r="E98" s="1" t="s">
        <v>30</v>
      </c>
      <c r="F98" s="1" t="s">
        <v>31</v>
      </c>
      <c r="G98" s="4">
        <v>683.08042354041481</v>
      </c>
      <c r="H98" s="4">
        <v>59.464752491470897</v>
      </c>
      <c r="I98" s="7">
        <v>9.2410745248220835E-2</v>
      </c>
      <c r="J98" s="7">
        <v>0.23417559757771589</v>
      </c>
      <c r="K98" s="4">
        <v>3.7068542315149471</v>
      </c>
      <c r="L98" s="3" t="s">
        <v>28</v>
      </c>
      <c r="P98" s="4">
        <v>59.464752491470897</v>
      </c>
    </row>
    <row r="99" spans="1:17" ht="15.75" x14ac:dyDescent="0.25">
      <c r="A99" s="1" t="s">
        <v>29</v>
      </c>
      <c r="B99" s="1" t="s">
        <v>26</v>
      </c>
      <c r="C99" s="1" t="s">
        <v>41</v>
      </c>
      <c r="D99" s="1" t="s">
        <v>27</v>
      </c>
      <c r="E99" s="1" t="s">
        <v>37</v>
      </c>
      <c r="F99" s="1" t="s">
        <v>23</v>
      </c>
      <c r="G99" s="4">
        <v>359.58938122452952</v>
      </c>
      <c r="H99" s="4">
        <v>54.281874882604079</v>
      </c>
      <c r="I99" s="7">
        <v>7.0531762152789432E-2</v>
      </c>
      <c r="J99" s="7">
        <v>6.7976679297935799E-2</v>
      </c>
      <c r="K99" s="4">
        <v>5.1547366152952367</v>
      </c>
      <c r="L99" s="3" t="s">
        <v>36</v>
      </c>
      <c r="P99" s="4">
        <v>54.281874882604079</v>
      </c>
    </row>
    <row r="100" spans="1:17" ht="15.75" x14ac:dyDescent="0.25">
      <c r="A100" s="1" t="s">
        <v>29</v>
      </c>
      <c r="B100" s="1" t="s">
        <v>26</v>
      </c>
      <c r="C100" s="1" t="s">
        <v>41</v>
      </c>
      <c r="D100" s="1" t="s">
        <v>15</v>
      </c>
      <c r="E100" s="1" t="s">
        <v>34</v>
      </c>
      <c r="F100" s="1" t="s">
        <v>31</v>
      </c>
      <c r="G100" s="4">
        <v>421.57836937356848</v>
      </c>
      <c r="H100" s="4">
        <v>53.46361851702364</v>
      </c>
      <c r="I100" s="7">
        <v>0.1178507742982524</v>
      </c>
      <c r="J100" s="7">
        <v>0.31794401207212869</v>
      </c>
      <c r="K100" s="4">
        <v>8.046248154539315</v>
      </c>
      <c r="L100" s="3" t="s">
        <v>36</v>
      </c>
      <c r="P100" s="4">
        <v>53.46361851702364</v>
      </c>
    </row>
    <row r="101" spans="1:17" ht="15.75" x14ac:dyDescent="0.25">
      <c r="A101" s="1" t="s">
        <v>29</v>
      </c>
      <c r="B101" s="1" t="s">
        <v>26</v>
      </c>
      <c r="C101" s="1" t="s">
        <v>14</v>
      </c>
      <c r="D101" s="1" t="s">
        <v>27</v>
      </c>
      <c r="E101" s="1" t="s">
        <v>37</v>
      </c>
      <c r="F101" s="1" t="s">
        <v>35</v>
      </c>
      <c r="G101" s="4">
        <v>453.08257332497061</v>
      </c>
      <c r="H101" s="4">
        <v>27.140594043387541</v>
      </c>
      <c r="I101" s="7">
        <v>0.1314814420961806</v>
      </c>
      <c r="J101" s="7">
        <v>0.32378163119734621</v>
      </c>
      <c r="K101" s="4">
        <v>2.2344005380713279</v>
      </c>
      <c r="L101" s="3" t="s">
        <v>18</v>
      </c>
      <c r="P101" s="4">
        <v>27.140594043387541</v>
      </c>
      <c r="Q101" s="9">
        <f>SUM(P79:P101)</f>
        <v>1090.9416719810774</v>
      </c>
    </row>
  </sheetData>
  <sortState xmlns:xlrd2="http://schemas.microsoft.com/office/spreadsheetml/2017/richdata2" ref="A2:L101">
    <sortCondition ref="A1:A101"/>
  </sortState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F2901-0A9D-4F84-8EB6-99F3ED751DD3}">
  <dimension ref="A1:O110"/>
  <sheetViews>
    <sheetView topLeftCell="C1" zoomScale="60" zoomScaleNormal="60" workbookViewId="0"/>
  </sheetViews>
  <sheetFormatPr defaultRowHeight="15" x14ac:dyDescent="0.25"/>
  <cols>
    <col min="1" max="1" width="16.5703125" customWidth="1"/>
    <col min="2" max="2" width="15.140625" bestFit="1" customWidth="1"/>
    <col min="3" max="3" width="24.7109375" bestFit="1" customWidth="1"/>
    <col min="4" max="4" width="18.42578125" bestFit="1" customWidth="1"/>
    <col min="5" max="5" width="19.42578125" style="5" bestFit="1" customWidth="1"/>
    <col min="6" max="6" width="22" style="5" customWidth="1"/>
    <col min="7" max="7" width="20.42578125" style="8" bestFit="1" customWidth="1"/>
    <col min="8" max="8" width="37.28515625" style="8" bestFit="1" customWidth="1"/>
    <col min="9" max="9" width="44.7109375" style="8" bestFit="1" customWidth="1"/>
    <col min="10" max="10" width="19.140625" bestFit="1" customWidth="1"/>
    <col min="11" max="11" width="32.7109375" bestFit="1" customWidth="1"/>
    <col min="12" max="12" width="36.42578125" bestFit="1" customWidth="1"/>
    <col min="13" max="13" width="12.85546875" bestFit="1" customWidth="1"/>
    <col min="14" max="14" width="22.5703125" bestFit="1" customWidth="1"/>
    <col min="15" max="15" width="31.5703125" bestFit="1" customWidth="1"/>
  </cols>
  <sheetData>
    <row r="1" spans="1:15" ht="21" x14ac:dyDescent="0.35">
      <c r="A1" s="11" t="s">
        <v>49</v>
      </c>
      <c r="B1" s="1"/>
      <c r="C1" s="1"/>
      <c r="D1" s="1"/>
      <c r="E1" s="1"/>
      <c r="F1" s="1"/>
    </row>
    <row r="2" spans="1:15" ht="15.75" x14ac:dyDescent="0.25">
      <c r="A2" s="12" t="s">
        <v>46</v>
      </c>
      <c r="B2" s="12"/>
      <c r="C2" s="12"/>
      <c r="D2" s="12"/>
      <c r="E2" s="12"/>
      <c r="F2" s="12"/>
    </row>
    <row r="3" spans="1:15" ht="15.75" x14ac:dyDescent="0.25">
      <c r="A3" s="16"/>
      <c r="B3" s="16"/>
      <c r="C3" s="16"/>
      <c r="D3" s="16"/>
      <c r="E3" s="16"/>
      <c r="F3" s="16"/>
    </row>
    <row r="4" spans="1:15" ht="15.75" x14ac:dyDescent="0.25">
      <c r="A4" s="13" t="s">
        <v>44</v>
      </c>
      <c r="B4" s="13" t="s">
        <v>19</v>
      </c>
      <c r="C4" s="13" t="s">
        <v>12</v>
      </c>
      <c r="D4" s="13"/>
      <c r="E4" s="13" t="s">
        <v>25</v>
      </c>
      <c r="F4" s="13" t="s">
        <v>29</v>
      </c>
    </row>
    <row r="5" spans="1:15" ht="15.75" x14ac:dyDescent="0.25">
      <c r="A5" s="14">
        <v>9.8868350761340429E-2</v>
      </c>
      <c r="B5" s="14">
        <v>0.12948575044347371</v>
      </c>
      <c r="C5" s="14">
        <v>0.10225209806148733</v>
      </c>
      <c r="D5" s="14"/>
      <c r="E5" s="14">
        <v>0.10376924367313188</v>
      </c>
      <c r="F5" s="14">
        <v>9.2065258798867913E-2</v>
      </c>
    </row>
    <row r="6" spans="1:15" ht="15.75" x14ac:dyDescent="0.25">
      <c r="A6" s="15">
        <v>0.23456791522027687</v>
      </c>
      <c r="B6" s="15">
        <v>0.20247616975178909</v>
      </c>
      <c r="C6" s="15">
        <v>0.19676548631814586</v>
      </c>
      <c r="D6" s="15"/>
      <c r="E6" s="15">
        <v>0.21020246627897299</v>
      </c>
      <c r="F6" s="15">
        <v>0.2098750522030508</v>
      </c>
    </row>
    <row r="7" spans="1:15" ht="15.75" x14ac:dyDescent="0.25">
      <c r="A7" s="15"/>
      <c r="B7" s="15"/>
      <c r="C7" s="15"/>
      <c r="D7" s="15"/>
      <c r="E7" s="15"/>
      <c r="F7" s="15"/>
    </row>
    <row r="9" spans="1:15" x14ac:dyDescent="0.25">
      <c r="A9" s="38" t="s">
        <v>3</v>
      </c>
      <c r="B9" s="38" t="s">
        <v>11</v>
      </c>
      <c r="C9" s="39" t="s">
        <v>0</v>
      </c>
      <c r="D9" s="39" t="s">
        <v>6</v>
      </c>
      <c r="E9" s="39" t="s">
        <v>7</v>
      </c>
      <c r="F9" s="39" t="s">
        <v>47</v>
      </c>
      <c r="G9" s="40" t="s">
        <v>8</v>
      </c>
      <c r="H9" s="41" t="s">
        <v>50</v>
      </c>
      <c r="I9" s="40" t="s">
        <v>53</v>
      </c>
      <c r="J9" s="42" t="s">
        <v>9</v>
      </c>
      <c r="K9" s="43" t="s">
        <v>48</v>
      </c>
      <c r="L9" s="44" t="s">
        <v>54</v>
      </c>
      <c r="N9" s="2" t="s">
        <v>0</v>
      </c>
      <c r="O9" t="s">
        <v>63</v>
      </c>
    </row>
    <row r="10" spans="1:15" ht="15.75" x14ac:dyDescent="0.25">
      <c r="A10" s="1" t="s">
        <v>15</v>
      </c>
      <c r="B10" s="3" t="s">
        <v>38</v>
      </c>
      <c r="C10" s="27" t="s">
        <v>44</v>
      </c>
      <c r="D10" s="28">
        <v>297.43377593311533</v>
      </c>
      <c r="E10" s="28">
        <v>49.305764605895128</v>
      </c>
      <c r="F10" s="28">
        <v>14665.199742000739</v>
      </c>
      <c r="G10" s="19">
        <v>0.1</v>
      </c>
      <c r="H10" s="29">
        <v>267.69039833980378</v>
      </c>
      <c r="I10" s="23">
        <v>13198.679767800666</v>
      </c>
      <c r="J10" s="19">
        <v>0.23</v>
      </c>
      <c r="K10" s="30">
        <v>365.84354439773188</v>
      </c>
      <c r="L10" s="9">
        <v>18038.195682660909</v>
      </c>
      <c r="N10" s="1" t="s">
        <v>44</v>
      </c>
      <c r="O10" s="26">
        <v>0.1</v>
      </c>
    </row>
    <row r="11" spans="1:15" ht="15.75" x14ac:dyDescent="0.25">
      <c r="A11" s="1" t="s">
        <v>22</v>
      </c>
      <c r="B11" s="3" t="s">
        <v>45</v>
      </c>
      <c r="C11" s="31" t="s">
        <v>44</v>
      </c>
      <c r="D11" s="32">
        <v>217.5392597329417</v>
      </c>
      <c r="E11" s="32">
        <v>65.038660653735491</v>
      </c>
      <c r="F11" s="32">
        <v>14148.46209263562</v>
      </c>
      <c r="G11" s="20">
        <v>0.1</v>
      </c>
      <c r="H11" s="32">
        <v>195.78533375964753</v>
      </c>
      <c r="I11" s="23">
        <v>12733.615883372058</v>
      </c>
      <c r="J11" s="20">
        <v>0.23</v>
      </c>
      <c r="K11" s="33">
        <v>267.57328947151831</v>
      </c>
      <c r="L11" s="9">
        <v>17402.608373941814</v>
      </c>
      <c r="N11" s="1" t="s">
        <v>19</v>
      </c>
      <c r="O11" s="26">
        <v>0.13</v>
      </c>
    </row>
    <row r="12" spans="1:15" ht="15.75" x14ac:dyDescent="0.25">
      <c r="A12" s="1" t="s">
        <v>15</v>
      </c>
      <c r="B12" s="3" t="s">
        <v>36</v>
      </c>
      <c r="C12" s="34" t="s">
        <v>44</v>
      </c>
      <c r="D12" s="29">
        <v>454.84473990269288</v>
      </c>
      <c r="E12" s="29">
        <v>31.81225090410522</v>
      </c>
      <c r="F12" s="29">
        <v>14469.634988196945</v>
      </c>
      <c r="G12" s="21">
        <v>0.1</v>
      </c>
      <c r="H12" s="29">
        <v>409.36026591242359</v>
      </c>
      <c r="I12" s="23">
        <v>13022.671489377251</v>
      </c>
      <c r="J12" s="21">
        <v>0.23</v>
      </c>
      <c r="K12" s="30">
        <v>559.45903008031223</v>
      </c>
      <c r="L12" s="9">
        <v>17797.651035482242</v>
      </c>
      <c r="N12" s="1" t="s">
        <v>12</v>
      </c>
      <c r="O12" s="26">
        <v>0.1</v>
      </c>
    </row>
    <row r="13" spans="1:15" ht="15.75" x14ac:dyDescent="0.25">
      <c r="A13" s="1" t="s">
        <v>39</v>
      </c>
      <c r="B13" s="3" t="s">
        <v>32</v>
      </c>
      <c r="C13" s="31" t="s">
        <v>44</v>
      </c>
      <c r="D13" s="32">
        <v>441.661250041345</v>
      </c>
      <c r="E13" s="32">
        <v>39.930486917676014</v>
      </c>
      <c r="F13" s="32">
        <v>17635.748766820361</v>
      </c>
      <c r="G13" s="20">
        <v>0.1</v>
      </c>
      <c r="H13" s="32">
        <v>397.49512503721053</v>
      </c>
      <c r="I13" s="23">
        <v>15872.173890138325</v>
      </c>
      <c r="J13" s="20">
        <v>0.23</v>
      </c>
      <c r="K13" s="33">
        <v>543.24333755085433</v>
      </c>
      <c r="L13" s="9">
        <v>21691.970983189043</v>
      </c>
      <c r="N13" s="1" t="s">
        <v>25</v>
      </c>
      <c r="O13" s="26">
        <v>0.1</v>
      </c>
    </row>
    <row r="14" spans="1:15" ht="15.75" x14ac:dyDescent="0.25">
      <c r="A14" s="1" t="s">
        <v>27</v>
      </c>
      <c r="B14" s="3" t="s">
        <v>18</v>
      </c>
      <c r="C14" s="34" t="s">
        <v>44</v>
      </c>
      <c r="D14" s="29">
        <v>108.06597522404491</v>
      </c>
      <c r="E14" s="29">
        <v>43.558769675886488</v>
      </c>
      <c r="F14" s="29">
        <v>4707.2209245842278</v>
      </c>
      <c r="G14" s="21">
        <v>0.1</v>
      </c>
      <c r="H14" s="29">
        <v>97.259377701640418</v>
      </c>
      <c r="I14" s="23">
        <v>4236.4988321258052</v>
      </c>
      <c r="J14" s="21">
        <v>0.23</v>
      </c>
      <c r="K14" s="30">
        <v>132.92114952557523</v>
      </c>
      <c r="L14" s="9">
        <v>5789.8817372386002</v>
      </c>
      <c r="N14" s="1" t="s">
        <v>29</v>
      </c>
      <c r="O14" s="26">
        <v>0.09</v>
      </c>
    </row>
    <row r="15" spans="1:15" ht="15.75" x14ac:dyDescent="0.25">
      <c r="A15" s="1" t="s">
        <v>15</v>
      </c>
      <c r="B15" s="3" t="s">
        <v>36</v>
      </c>
      <c r="C15" s="31" t="s">
        <v>44</v>
      </c>
      <c r="D15" s="32">
        <v>539.37224717382469</v>
      </c>
      <c r="E15" s="32">
        <v>25.3827136713209</v>
      </c>
      <c r="F15" s="32">
        <v>13690.731312270116</v>
      </c>
      <c r="G15" s="20">
        <v>0.1</v>
      </c>
      <c r="H15" s="32">
        <v>485.4350224564422</v>
      </c>
      <c r="I15" s="23">
        <v>12321.658181043105</v>
      </c>
      <c r="J15" s="20">
        <v>0.23</v>
      </c>
      <c r="K15" s="33">
        <v>663.42786402380443</v>
      </c>
      <c r="L15" s="9">
        <v>16839.599514092242</v>
      </c>
    </row>
    <row r="16" spans="1:15" ht="15.75" x14ac:dyDescent="0.25">
      <c r="A16" s="1" t="s">
        <v>15</v>
      </c>
      <c r="B16" s="3" t="s">
        <v>43</v>
      </c>
      <c r="C16" s="34" t="s">
        <v>44</v>
      </c>
      <c r="D16" s="29">
        <v>439.77926088214218</v>
      </c>
      <c r="E16" s="29">
        <v>53.692677170646093</v>
      </c>
      <c r="F16" s="29">
        <v>23612.925880890209</v>
      </c>
      <c r="G16" s="21">
        <v>0.1</v>
      </c>
      <c r="H16" s="29">
        <v>395.80133479392794</v>
      </c>
      <c r="I16" s="23">
        <v>21251.633292801187</v>
      </c>
      <c r="J16" s="21">
        <v>0.23</v>
      </c>
      <c r="K16" s="30">
        <v>540.92849088503488</v>
      </c>
      <c r="L16" s="9">
        <v>29043.898833494954</v>
      </c>
    </row>
    <row r="17" spans="1:15" ht="15.75" x14ac:dyDescent="0.25">
      <c r="A17" s="1" t="s">
        <v>15</v>
      </c>
      <c r="B17" s="3" t="s">
        <v>45</v>
      </c>
      <c r="C17" s="31" t="s">
        <v>44</v>
      </c>
      <c r="D17" s="32">
        <v>204.29560192651451</v>
      </c>
      <c r="E17" s="32">
        <v>55.197655884968469</v>
      </c>
      <c r="F17" s="32">
        <v>11276.638333952249</v>
      </c>
      <c r="G17" s="20">
        <v>0.1</v>
      </c>
      <c r="H17" s="32">
        <v>183.86604173386306</v>
      </c>
      <c r="I17" s="23">
        <v>10148.974500557024</v>
      </c>
      <c r="J17" s="20">
        <v>0.23</v>
      </c>
      <c r="K17" s="33">
        <v>251.28359036961285</v>
      </c>
      <c r="L17" s="9">
        <v>13870.265150761266</v>
      </c>
    </row>
    <row r="18" spans="1:15" ht="15.75" x14ac:dyDescent="0.25">
      <c r="A18" s="1" t="s">
        <v>27</v>
      </c>
      <c r="B18" s="3" t="s">
        <v>18</v>
      </c>
      <c r="C18" s="34" t="s">
        <v>44</v>
      </c>
      <c r="D18" s="29">
        <v>564.81679387895906</v>
      </c>
      <c r="E18" s="29">
        <v>55.009857006917528</v>
      </c>
      <c r="F18" s="29">
        <v>31070.491066387149</v>
      </c>
      <c r="G18" s="21">
        <v>0.1</v>
      </c>
      <c r="H18" s="29">
        <v>508.33511449106317</v>
      </c>
      <c r="I18" s="23">
        <v>27963.441959748434</v>
      </c>
      <c r="J18" s="21">
        <v>0.23</v>
      </c>
      <c r="K18" s="30">
        <v>694.72465647111972</v>
      </c>
      <c r="L18" s="9">
        <v>38216.704011656198</v>
      </c>
    </row>
    <row r="19" spans="1:15" ht="15.75" x14ac:dyDescent="0.25">
      <c r="A19" s="1" t="s">
        <v>22</v>
      </c>
      <c r="B19" s="3" t="s">
        <v>32</v>
      </c>
      <c r="C19" s="31" t="s">
        <v>44</v>
      </c>
      <c r="D19" s="32">
        <v>422.98354391673672</v>
      </c>
      <c r="E19" s="32">
        <v>56.928964189939506</v>
      </c>
      <c r="F19" s="32">
        <v>24080.01502456961</v>
      </c>
      <c r="G19" s="20">
        <v>0.1</v>
      </c>
      <c r="H19" s="32">
        <v>380.68518952506304</v>
      </c>
      <c r="I19" s="23">
        <v>21672.013522112647</v>
      </c>
      <c r="J19" s="20">
        <v>0.23</v>
      </c>
      <c r="K19" s="33">
        <v>520.26975901758613</v>
      </c>
      <c r="L19" s="9">
        <v>29618.418480220618</v>
      </c>
      <c r="N19" s="2" t="s">
        <v>0</v>
      </c>
      <c r="O19" t="s">
        <v>66</v>
      </c>
    </row>
    <row r="20" spans="1:15" ht="15.75" x14ac:dyDescent="0.25">
      <c r="A20" s="1" t="s">
        <v>27</v>
      </c>
      <c r="B20" s="3" t="s">
        <v>32</v>
      </c>
      <c r="C20" s="34" t="s">
        <v>44</v>
      </c>
      <c r="D20" s="29">
        <v>332.15649535547232</v>
      </c>
      <c r="E20" s="29">
        <v>87.315490222895136</v>
      </c>
      <c r="F20" s="29">
        <v>29002.407222681857</v>
      </c>
      <c r="G20" s="21">
        <v>0.1</v>
      </c>
      <c r="H20" s="29">
        <v>298.94084581992507</v>
      </c>
      <c r="I20" s="23">
        <v>26102.16650041367</v>
      </c>
      <c r="J20" s="21">
        <v>0.23</v>
      </c>
      <c r="K20" s="30">
        <v>408.55248928723097</v>
      </c>
      <c r="L20" s="9">
        <v>35672.960883898682</v>
      </c>
      <c r="N20" s="1" t="s">
        <v>44</v>
      </c>
      <c r="O20" s="26">
        <v>0.23</v>
      </c>
    </row>
    <row r="21" spans="1:15" ht="15.75" x14ac:dyDescent="0.25">
      <c r="A21" s="1" t="s">
        <v>39</v>
      </c>
      <c r="B21" s="3" t="s">
        <v>42</v>
      </c>
      <c r="C21" s="31" t="s">
        <v>44</v>
      </c>
      <c r="D21" s="32">
        <v>462.86820466723663</v>
      </c>
      <c r="E21" s="32">
        <v>65.741692074849041</v>
      </c>
      <c r="F21" s="32">
        <v>30429.738982471674</v>
      </c>
      <c r="G21" s="20">
        <v>0.1</v>
      </c>
      <c r="H21" s="32">
        <v>416.58138420051296</v>
      </c>
      <c r="I21" s="23">
        <v>27386.765084224506</v>
      </c>
      <c r="J21" s="20">
        <v>0.23</v>
      </c>
      <c r="K21" s="33">
        <v>569.32789174070103</v>
      </c>
      <c r="L21" s="9">
        <v>37428.578948440161</v>
      </c>
      <c r="N21" s="1" t="s">
        <v>19</v>
      </c>
      <c r="O21" s="26">
        <v>0.2</v>
      </c>
    </row>
    <row r="22" spans="1:15" ht="15.75" x14ac:dyDescent="0.25">
      <c r="A22" s="1" t="s">
        <v>22</v>
      </c>
      <c r="B22" s="3" t="s">
        <v>40</v>
      </c>
      <c r="C22" s="34" t="s">
        <v>44</v>
      </c>
      <c r="D22" s="29">
        <v>700.7065795784049</v>
      </c>
      <c r="E22" s="29">
        <v>87.93585965307895</v>
      </c>
      <c r="F22" s="29">
        <v>61617.235439795608</v>
      </c>
      <c r="G22" s="21">
        <v>0.1</v>
      </c>
      <c r="H22" s="29">
        <v>630.63592162056443</v>
      </c>
      <c r="I22" s="23">
        <v>55455.511895816046</v>
      </c>
      <c r="J22" s="21">
        <v>0.23</v>
      </c>
      <c r="K22" s="30">
        <v>861.86909288143806</v>
      </c>
      <c r="L22" s="9">
        <v>75789.1995909486</v>
      </c>
      <c r="N22" s="1" t="s">
        <v>12</v>
      </c>
      <c r="O22" s="26">
        <v>0.2</v>
      </c>
    </row>
    <row r="23" spans="1:15" ht="15.75" x14ac:dyDescent="0.25">
      <c r="A23" s="1" t="s">
        <v>15</v>
      </c>
      <c r="B23" s="3" t="s">
        <v>38</v>
      </c>
      <c r="C23" s="31" t="s">
        <v>44</v>
      </c>
      <c r="D23" s="32">
        <v>370.97604907897522</v>
      </c>
      <c r="E23" s="32">
        <v>34.925276712850213</v>
      </c>
      <c r="F23" s="32">
        <v>12956.441167923111</v>
      </c>
      <c r="G23" s="20">
        <v>0.1</v>
      </c>
      <c r="H23" s="32">
        <v>333.87844417107772</v>
      </c>
      <c r="I23" s="23">
        <v>11660.797051130799</v>
      </c>
      <c r="J23" s="20">
        <v>0.23</v>
      </c>
      <c r="K23" s="33">
        <v>456.30054036713955</v>
      </c>
      <c r="L23" s="9">
        <v>15936.422636545427</v>
      </c>
      <c r="N23" s="1" t="s">
        <v>25</v>
      </c>
      <c r="O23" s="26">
        <v>0.21</v>
      </c>
    </row>
    <row r="24" spans="1:15" ht="15.75" x14ac:dyDescent="0.25">
      <c r="A24" s="1" t="s">
        <v>22</v>
      </c>
      <c r="B24" s="3" t="s">
        <v>40</v>
      </c>
      <c r="C24" s="34" t="s">
        <v>44</v>
      </c>
      <c r="D24" s="29">
        <v>572.27912110168279</v>
      </c>
      <c r="E24" s="29">
        <v>32.209711407489543</v>
      </c>
      <c r="F24" s="29">
        <v>18432.945335216962</v>
      </c>
      <c r="G24" s="21">
        <v>0.1</v>
      </c>
      <c r="H24" s="29">
        <v>515.0512089915145</v>
      </c>
      <c r="I24" s="23">
        <v>16589.650801695265</v>
      </c>
      <c r="J24" s="21">
        <v>0.23</v>
      </c>
      <c r="K24" s="30">
        <v>703.90331895506984</v>
      </c>
      <c r="L24" s="9">
        <v>22672.522762316865</v>
      </c>
      <c r="N24" s="1" t="s">
        <v>29</v>
      </c>
      <c r="O24" s="26">
        <v>0.21</v>
      </c>
    </row>
    <row r="25" spans="1:15" ht="15.75" x14ac:dyDescent="0.25">
      <c r="A25" s="1" t="s">
        <v>22</v>
      </c>
      <c r="B25" s="3" t="s">
        <v>38</v>
      </c>
      <c r="C25" s="31" t="s">
        <v>44</v>
      </c>
      <c r="D25" s="32">
        <v>807.60731329319378</v>
      </c>
      <c r="E25" s="32">
        <v>33.683794300691233</v>
      </c>
      <c r="F25" s="32">
        <v>27203.278616701838</v>
      </c>
      <c r="G25" s="20">
        <v>0.1</v>
      </c>
      <c r="H25" s="32">
        <v>726.84658196387443</v>
      </c>
      <c r="I25" s="23">
        <v>24482.950755031656</v>
      </c>
      <c r="J25" s="20">
        <v>0.23</v>
      </c>
      <c r="K25" s="33">
        <v>993.35699535062838</v>
      </c>
      <c r="L25" s="9">
        <v>33460.032698543262</v>
      </c>
    </row>
    <row r="26" spans="1:15" ht="15.75" x14ac:dyDescent="0.25">
      <c r="A26" s="1" t="s">
        <v>39</v>
      </c>
      <c r="B26" s="3" t="s">
        <v>28</v>
      </c>
      <c r="C26" s="34" t="s">
        <v>44</v>
      </c>
      <c r="D26" s="29">
        <v>492.83479217800971</v>
      </c>
      <c r="E26" s="29">
        <v>48.457965811717919</v>
      </c>
      <c r="F26" s="29">
        <v>23881.7715101871</v>
      </c>
      <c r="G26" s="21">
        <v>0.1</v>
      </c>
      <c r="H26" s="29">
        <v>443.55131296020875</v>
      </c>
      <c r="I26" s="23">
        <v>21493.59435916839</v>
      </c>
      <c r="J26" s="21">
        <v>0.23</v>
      </c>
      <c r="K26" s="30">
        <v>606.18679437895196</v>
      </c>
      <c r="L26" s="9">
        <v>29374.578957530135</v>
      </c>
    </row>
    <row r="27" spans="1:15" ht="15.75" x14ac:dyDescent="0.25">
      <c r="A27" s="1" t="s">
        <v>27</v>
      </c>
      <c r="B27" s="3" t="s">
        <v>36</v>
      </c>
      <c r="C27" s="31" t="s">
        <v>44</v>
      </c>
      <c r="D27" s="32">
        <v>440.19852990682648</v>
      </c>
      <c r="E27" s="32">
        <v>79.070681543146335</v>
      </c>
      <c r="F27" s="32">
        <v>34806.797774023857</v>
      </c>
      <c r="G27" s="20">
        <v>0.1</v>
      </c>
      <c r="H27" s="32">
        <v>396.17867691614384</v>
      </c>
      <c r="I27" s="23">
        <v>31326.11799662147</v>
      </c>
      <c r="J27" s="20">
        <v>0.23</v>
      </c>
      <c r="K27" s="33">
        <v>541.44419178539658</v>
      </c>
      <c r="L27" s="9">
        <v>42812.361262049344</v>
      </c>
    </row>
    <row r="28" spans="1:15" ht="15.75" x14ac:dyDescent="0.25">
      <c r="A28" s="1" t="s">
        <v>22</v>
      </c>
      <c r="B28" s="3" t="s">
        <v>28</v>
      </c>
      <c r="C28" s="34" t="s">
        <v>44</v>
      </c>
      <c r="D28" s="29">
        <v>394.04795924659231</v>
      </c>
      <c r="E28" s="29">
        <v>33.0641256386319</v>
      </c>
      <c r="F28" s="29">
        <v>13028.851232175832</v>
      </c>
      <c r="G28" s="21">
        <v>0.1</v>
      </c>
      <c r="H28" s="29">
        <v>354.64316332193306</v>
      </c>
      <c r="I28" s="23">
        <v>11725.966108958248</v>
      </c>
      <c r="J28" s="21">
        <v>0.23</v>
      </c>
      <c r="K28" s="30">
        <v>484.67898987330852</v>
      </c>
      <c r="L28" s="9">
        <v>16025.487015576271</v>
      </c>
    </row>
    <row r="29" spans="1:15" ht="15.75" x14ac:dyDescent="0.25">
      <c r="A29" s="1" t="s">
        <v>27</v>
      </c>
      <c r="B29" s="3" t="s">
        <v>43</v>
      </c>
      <c r="C29" s="31" t="s">
        <v>44</v>
      </c>
      <c r="D29" s="32">
        <v>552.21105443597787</v>
      </c>
      <c r="E29" s="32">
        <v>53.074502118910559</v>
      </c>
      <c r="F29" s="32">
        <v>29308.326778748142</v>
      </c>
      <c r="G29" s="20">
        <v>0.1</v>
      </c>
      <c r="H29" s="32">
        <v>496.98994899238005</v>
      </c>
      <c r="I29" s="23">
        <v>26377.494100873329</v>
      </c>
      <c r="J29" s="20">
        <v>0.23</v>
      </c>
      <c r="K29" s="33">
        <v>679.21959695625276</v>
      </c>
      <c r="L29" s="9">
        <v>36049.241937860214</v>
      </c>
    </row>
    <row r="30" spans="1:15" ht="15.75" x14ac:dyDescent="0.25">
      <c r="A30" s="1" t="s">
        <v>22</v>
      </c>
      <c r="B30" s="3" t="s">
        <v>24</v>
      </c>
      <c r="C30" s="34" t="s">
        <v>19</v>
      </c>
      <c r="D30" s="29">
        <v>472.34713976576307</v>
      </c>
      <c r="E30" s="29">
        <v>41.58709354469282</v>
      </c>
      <c r="F30" s="29">
        <v>19643.544687006884</v>
      </c>
      <c r="G30" s="21">
        <v>0.12803922631841169</v>
      </c>
      <c r="H30" s="29">
        <v>411.86817743644008</v>
      </c>
      <c r="I30" s="23">
        <v>17128.400423131377</v>
      </c>
      <c r="J30" s="21">
        <v>0.2</v>
      </c>
      <c r="K30" s="30">
        <v>566.81656771891573</v>
      </c>
      <c r="L30" s="9">
        <v>23572.253624408262</v>
      </c>
    </row>
    <row r="31" spans="1:15" ht="15.75" x14ac:dyDescent="0.25">
      <c r="A31" s="1" t="s">
        <v>39</v>
      </c>
      <c r="B31" s="3" t="s">
        <v>36</v>
      </c>
      <c r="C31" s="31" t="s">
        <v>19</v>
      </c>
      <c r="D31" s="32">
        <v>608.51200871719288</v>
      </c>
      <c r="E31" s="32">
        <v>48.511081684676647</v>
      </c>
      <c r="F31" s="32">
        <v>29519.575760986412</v>
      </c>
      <c r="G31" s="20">
        <v>0.12803922631841169</v>
      </c>
      <c r="H31" s="32">
        <v>530.59860191558096</v>
      </c>
      <c r="I31" s="23">
        <v>25739.912119301975</v>
      </c>
      <c r="J31" s="20">
        <v>0.2</v>
      </c>
      <c r="K31" s="33">
        <v>730.21441046063148</v>
      </c>
      <c r="L31" s="9">
        <v>35423.490913183698</v>
      </c>
    </row>
    <row r="32" spans="1:15" ht="15.75" x14ac:dyDescent="0.25">
      <c r="A32" s="1" t="s">
        <v>27</v>
      </c>
      <c r="B32" s="3" t="s">
        <v>42</v>
      </c>
      <c r="C32" s="34" t="s">
        <v>19</v>
      </c>
      <c r="D32" s="29">
        <v>387.54249415180539</v>
      </c>
      <c r="E32" s="29">
        <v>56.030946846672251</v>
      </c>
      <c r="F32" s="29">
        <v>21714.372890646599</v>
      </c>
      <c r="G32" s="21">
        <v>0.12803922631841169</v>
      </c>
      <c r="H32" s="29">
        <v>337.92185303510064</v>
      </c>
      <c r="I32" s="23">
        <v>18934.081385738715</v>
      </c>
      <c r="J32" s="21">
        <v>0.2</v>
      </c>
      <c r="K32" s="30">
        <v>465.05099298216646</v>
      </c>
      <c r="L32" s="9">
        <v>26057.24746877592</v>
      </c>
    </row>
    <row r="33" spans="1:12" ht="15.75" x14ac:dyDescent="0.25">
      <c r="A33" s="1" t="s">
        <v>15</v>
      </c>
      <c r="B33" s="3" t="s">
        <v>40</v>
      </c>
      <c r="C33" s="31" t="s">
        <v>19</v>
      </c>
      <c r="D33" s="32">
        <v>379.65867755412057</v>
      </c>
      <c r="E33" s="32">
        <v>18.986731378677352</v>
      </c>
      <c r="F33" s="32">
        <v>7208.4773263039679</v>
      </c>
      <c r="G33" s="20">
        <v>0.12803922631841169</v>
      </c>
      <c r="H33" s="32">
        <v>331.04747421501963</v>
      </c>
      <c r="I33" s="23">
        <v>6285.5094665101951</v>
      </c>
      <c r="J33" s="20">
        <v>0.2</v>
      </c>
      <c r="K33" s="33">
        <v>455.5904130649447</v>
      </c>
      <c r="L33" s="9">
        <v>8650.1727915647607</v>
      </c>
    </row>
    <row r="34" spans="1:12" ht="15.75" x14ac:dyDescent="0.25">
      <c r="A34" s="1" t="s">
        <v>39</v>
      </c>
      <c r="B34" s="3" t="s">
        <v>28</v>
      </c>
      <c r="C34" s="34" t="s">
        <v>19</v>
      </c>
      <c r="D34" s="29">
        <v>870.45563690178756</v>
      </c>
      <c r="E34" s="29">
        <v>51.371259496120537</v>
      </c>
      <c r="F34" s="29">
        <v>44716.402403142602</v>
      </c>
      <c r="G34" s="21">
        <v>0.12803922631841169</v>
      </c>
      <c r="H34" s="29">
        <v>759.00317060838233</v>
      </c>
      <c r="I34" s="23">
        <v>38990.948835701456</v>
      </c>
      <c r="J34" s="21">
        <v>0.2</v>
      </c>
      <c r="K34" s="30">
        <v>1044.546764282145</v>
      </c>
      <c r="L34" s="9">
        <v>53659.682883771122</v>
      </c>
    </row>
    <row r="35" spans="1:12" ht="15.75" x14ac:dyDescent="0.25">
      <c r="A35" s="1" t="s">
        <v>27</v>
      </c>
      <c r="B35" s="3" t="s">
        <v>38</v>
      </c>
      <c r="C35" s="31" t="s">
        <v>19</v>
      </c>
      <c r="D35" s="32">
        <v>664.50898242063784</v>
      </c>
      <c r="E35" s="32">
        <v>31.611515315323938</v>
      </c>
      <c r="F35" s="32">
        <v>21006.135874960317</v>
      </c>
      <c r="G35" s="20">
        <v>0.12803922631841169</v>
      </c>
      <c r="H35" s="32">
        <v>579.42576642986432</v>
      </c>
      <c r="I35" s="23">
        <v>18316.526489590964</v>
      </c>
      <c r="J35" s="20">
        <v>0.2</v>
      </c>
      <c r="K35" s="33">
        <v>797.41077890476538</v>
      </c>
      <c r="L35" s="9">
        <v>25207.363049952382</v>
      </c>
    </row>
    <row r="36" spans="1:12" ht="15.75" x14ac:dyDescent="0.25">
      <c r="A36" s="1" t="s">
        <v>15</v>
      </c>
      <c r="B36" s="3" t="s">
        <v>40</v>
      </c>
      <c r="C36" s="34" t="s">
        <v>19</v>
      </c>
      <c r="D36" s="29">
        <v>407.87224580804252</v>
      </c>
      <c r="E36" s="29">
        <v>25.260985782438361</v>
      </c>
      <c r="F36" s="29">
        <v>10303.255002408167</v>
      </c>
      <c r="G36" s="21">
        <v>0.12803922631841169</v>
      </c>
      <c r="H36" s="29">
        <v>355.64859901802771</v>
      </c>
      <c r="I36" s="23">
        <v>8984.0342033385205</v>
      </c>
      <c r="J36" s="21">
        <v>0.2</v>
      </c>
      <c r="K36" s="30">
        <v>489.44669496965105</v>
      </c>
      <c r="L36" s="9">
        <v>12363.9060028898</v>
      </c>
    </row>
    <row r="37" spans="1:12" ht="15.75" x14ac:dyDescent="0.25">
      <c r="A37" s="1" t="s">
        <v>27</v>
      </c>
      <c r="B37" s="3" t="s">
        <v>36</v>
      </c>
      <c r="C37" s="31" t="s">
        <v>19</v>
      </c>
      <c r="D37" s="32">
        <v>364.61559993880832</v>
      </c>
      <c r="E37" s="32">
        <v>36.399505568430193</v>
      </c>
      <c r="F37" s="32">
        <v>13271.82756030917</v>
      </c>
      <c r="G37" s="20">
        <v>0.12803922631841169</v>
      </c>
      <c r="H37" s="32">
        <v>317.93050061901977</v>
      </c>
      <c r="I37" s="23">
        <v>11572.51302765581</v>
      </c>
      <c r="J37" s="20">
        <v>0.2</v>
      </c>
      <c r="K37" s="33">
        <v>437.53871992656997</v>
      </c>
      <c r="L37" s="9">
        <v>15926.193072371003</v>
      </c>
    </row>
    <row r="38" spans="1:12" ht="15.75" x14ac:dyDescent="0.25">
      <c r="A38" s="1" t="s">
        <v>22</v>
      </c>
      <c r="B38" s="3" t="s">
        <v>28</v>
      </c>
      <c r="C38" s="34" t="s">
        <v>19</v>
      </c>
      <c r="D38" s="29">
        <v>566.25268628071285</v>
      </c>
      <c r="E38" s="29">
        <v>26.173930055947029</v>
      </c>
      <c r="F38" s="29">
        <v>14821.058204703493</v>
      </c>
      <c r="G38" s="21">
        <v>0.12803922631841169</v>
      </c>
      <c r="H38" s="29">
        <v>493.75013042860809</v>
      </c>
      <c r="I38" s="23">
        <v>12923.38137895311</v>
      </c>
      <c r="J38" s="21">
        <v>0.2</v>
      </c>
      <c r="K38" s="30">
        <v>679.50322353685544</v>
      </c>
      <c r="L38" s="9">
        <v>17785.269845644194</v>
      </c>
    </row>
    <row r="39" spans="1:12" ht="15.75" x14ac:dyDescent="0.25">
      <c r="A39" s="1" t="s">
        <v>39</v>
      </c>
      <c r="B39" s="3" t="s">
        <v>18</v>
      </c>
      <c r="C39" s="31" t="s">
        <v>19</v>
      </c>
      <c r="D39" s="32">
        <v>695.10902542447184</v>
      </c>
      <c r="E39" s="32">
        <v>63.131072172676603</v>
      </c>
      <c r="F39" s="32">
        <v>43882.978051951228</v>
      </c>
      <c r="G39" s="20">
        <v>0.12803922631841169</v>
      </c>
      <c r="H39" s="32">
        <v>606.10780360217734</v>
      </c>
      <c r="I39" s="23">
        <v>38264.235493631553</v>
      </c>
      <c r="J39" s="20">
        <v>0.2</v>
      </c>
      <c r="K39" s="33">
        <v>834.13083050936621</v>
      </c>
      <c r="L39" s="9">
        <v>52659.57366234147</v>
      </c>
    </row>
    <row r="40" spans="1:12" ht="15.75" x14ac:dyDescent="0.25">
      <c r="A40" s="1" t="s">
        <v>39</v>
      </c>
      <c r="B40" s="3" t="s">
        <v>18</v>
      </c>
      <c r="C40" s="34" t="s">
        <v>19</v>
      </c>
      <c r="D40" s="29">
        <v>278.73300519879427</v>
      </c>
      <c r="E40" s="29">
        <v>73.171911580148077</v>
      </c>
      <c r="F40" s="29">
        <v>20395.426810875128</v>
      </c>
      <c r="G40" s="21">
        <v>0.12803922631841169</v>
      </c>
      <c r="H40" s="29">
        <v>243.04424686373483</v>
      </c>
      <c r="I40" s="23">
        <v>17784.012141576884</v>
      </c>
      <c r="J40" s="21">
        <v>0.2</v>
      </c>
      <c r="K40" s="30">
        <v>334.47960623855312</v>
      </c>
      <c r="L40" s="9">
        <v>24474.512173050152</v>
      </c>
    </row>
    <row r="41" spans="1:12" ht="15.75" x14ac:dyDescent="0.25">
      <c r="A41" s="1" t="s">
        <v>22</v>
      </c>
      <c r="B41" s="3" t="s">
        <v>28</v>
      </c>
      <c r="C41" s="31" t="s">
        <v>19</v>
      </c>
      <c r="D41" s="32">
        <v>662.50516447883956</v>
      </c>
      <c r="E41" s="32">
        <v>69.267522584886436</v>
      </c>
      <c r="F41" s="32">
        <v>45890.091443141922</v>
      </c>
      <c r="G41" s="20">
        <v>0.12803922631841169</v>
      </c>
      <c r="H41" s="32">
        <v>577.67851578701686</v>
      </c>
      <c r="I41" s="23">
        <v>40014.359639080867</v>
      </c>
      <c r="J41" s="20">
        <v>0.2</v>
      </c>
      <c r="K41" s="33">
        <v>795.0061973746075</v>
      </c>
      <c r="L41" s="9">
        <v>55068.10973177031</v>
      </c>
    </row>
    <row r="42" spans="1:12" ht="15.75" x14ac:dyDescent="0.25">
      <c r="A42" s="1" t="s">
        <v>27</v>
      </c>
      <c r="B42" s="3" t="s">
        <v>45</v>
      </c>
      <c r="C42" s="34" t="s">
        <v>19</v>
      </c>
      <c r="D42" s="29">
        <v>664.38050087504473</v>
      </c>
      <c r="E42" s="29">
        <v>66.543664980720479</v>
      </c>
      <c r="F42" s="29">
        <v>44210.313469952249</v>
      </c>
      <c r="G42" s="21">
        <v>0.12803922631841169</v>
      </c>
      <c r="H42" s="29">
        <v>579.31373556196513</v>
      </c>
      <c r="I42" s="23">
        <v>38549.659137965107</v>
      </c>
      <c r="J42" s="21">
        <v>0.2</v>
      </c>
      <c r="K42" s="30">
        <v>797.25660105005363</v>
      </c>
      <c r="L42" s="9">
        <v>53052.376163942688</v>
      </c>
    </row>
    <row r="43" spans="1:12" ht="15.75" x14ac:dyDescent="0.25">
      <c r="A43" s="1" t="s">
        <v>15</v>
      </c>
      <c r="B43" s="3" t="s">
        <v>24</v>
      </c>
      <c r="C43" s="31" t="s">
        <v>19</v>
      </c>
      <c r="D43" s="32">
        <v>518.35215530710047</v>
      </c>
      <c r="E43" s="32">
        <v>44.706863335240882</v>
      </c>
      <c r="F43" s="32">
        <v>23173.898966842098</v>
      </c>
      <c r="G43" s="20">
        <v>0.12803922631841169</v>
      </c>
      <c r="H43" s="32">
        <v>451.98274638109814</v>
      </c>
      <c r="I43" s="23">
        <v>20206.730872346598</v>
      </c>
      <c r="J43" s="20">
        <v>0.2</v>
      </c>
      <c r="K43" s="33">
        <v>622.02258636852059</v>
      </c>
      <c r="L43" s="9">
        <v>27808.678760210518</v>
      </c>
    </row>
    <row r="44" spans="1:12" ht="15.75" x14ac:dyDescent="0.25">
      <c r="A44" s="1" t="s">
        <v>15</v>
      </c>
      <c r="B44" s="3" t="s">
        <v>32</v>
      </c>
      <c r="C44" s="34" t="s">
        <v>19</v>
      </c>
      <c r="D44" s="29">
        <v>565.75022193193695</v>
      </c>
      <c r="E44" s="29">
        <v>48.543421746862542</v>
      </c>
      <c r="F44" s="29">
        <v>27463.451626623097</v>
      </c>
      <c r="G44" s="21">
        <v>0.12803922631841169</v>
      </c>
      <c r="H44" s="29">
        <v>493.31200122630202</v>
      </c>
      <c r="I44" s="23">
        <v>23947.052528317152</v>
      </c>
      <c r="J44" s="21">
        <v>0.2</v>
      </c>
      <c r="K44" s="30">
        <v>678.90026631832438</v>
      </c>
      <c r="L44" s="9">
        <v>32956.14195194772</v>
      </c>
    </row>
    <row r="45" spans="1:12" ht="15.75" x14ac:dyDescent="0.25">
      <c r="A45" s="1" t="s">
        <v>27</v>
      </c>
      <c r="B45" s="3" t="s">
        <v>18</v>
      </c>
      <c r="C45" s="31" t="s">
        <v>19</v>
      </c>
      <c r="D45" s="32">
        <v>559.22405541291516</v>
      </c>
      <c r="E45" s="32">
        <v>32.322851275977342</v>
      </c>
      <c r="F45" s="32">
        <v>18075.715973060567</v>
      </c>
      <c r="G45" s="20">
        <v>0.12803922631841169</v>
      </c>
      <c r="H45" s="32">
        <v>487.62144001920092</v>
      </c>
      <c r="I45" s="23">
        <v>15761.315284718536</v>
      </c>
      <c r="J45" s="20">
        <v>0.2</v>
      </c>
      <c r="K45" s="33">
        <v>671.06886649549824</v>
      </c>
      <c r="L45" s="9">
        <v>21690.859167672683</v>
      </c>
    </row>
    <row r="46" spans="1:12" ht="15.75" x14ac:dyDescent="0.25">
      <c r="A46" s="1" t="s">
        <v>15</v>
      </c>
      <c r="B46" s="3" t="s">
        <v>18</v>
      </c>
      <c r="C46" s="34" t="s">
        <v>12</v>
      </c>
      <c r="D46" s="29">
        <v>599.34283060224652</v>
      </c>
      <c r="E46" s="29">
        <v>21.692585158991719</v>
      </c>
      <c r="F46" s="29">
        <v>13001.29539227038</v>
      </c>
      <c r="G46" s="21">
        <v>0.1</v>
      </c>
      <c r="H46" s="29">
        <v>539.40854754202189</v>
      </c>
      <c r="I46" s="23">
        <v>11701.165853043341</v>
      </c>
      <c r="J46" s="21">
        <v>0.2</v>
      </c>
      <c r="K46" s="30">
        <v>719.21139672269578</v>
      </c>
      <c r="L46" s="9">
        <v>15601.554470724455</v>
      </c>
    </row>
    <row r="47" spans="1:12" ht="15.75" x14ac:dyDescent="0.25">
      <c r="A47" s="1" t="s">
        <v>15</v>
      </c>
      <c r="B47" s="3" t="s">
        <v>36</v>
      </c>
      <c r="C47" s="31" t="s">
        <v>12</v>
      </c>
      <c r="D47" s="32">
        <v>453.16932505533282</v>
      </c>
      <c r="E47" s="32">
        <v>46.774285766679817</v>
      </c>
      <c r="F47" s="32">
        <v>21196.671510831555</v>
      </c>
      <c r="G47" s="20">
        <v>0.1</v>
      </c>
      <c r="H47" s="32">
        <v>407.85239254979956</v>
      </c>
      <c r="I47" s="23">
        <v>19077.0043597484</v>
      </c>
      <c r="J47" s="20">
        <v>0.2</v>
      </c>
      <c r="K47" s="33">
        <v>543.80319006639934</v>
      </c>
      <c r="L47" s="9">
        <v>25436.005812997861</v>
      </c>
    </row>
    <row r="48" spans="1:12" ht="15.75" x14ac:dyDescent="0.25">
      <c r="A48" s="1" t="s">
        <v>15</v>
      </c>
      <c r="B48" s="3" t="s">
        <v>38</v>
      </c>
      <c r="C48" s="34" t="s">
        <v>12</v>
      </c>
      <c r="D48" s="29">
        <v>453.17260861016388</v>
      </c>
      <c r="E48" s="29">
        <v>58.081017136290768</v>
      </c>
      <c r="F48" s="29">
        <v>26320.726046384516</v>
      </c>
      <c r="G48" s="21">
        <v>0.1</v>
      </c>
      <c r="H48" s="29">
        <v>407.85534774914748</v>
      </c>
      <c r="I48" s="23">
        <v>23688.653441746064</v>
      </c>
      <c r="J48" s="21">
        <v>0.2</v>
      </c>
      <c r="K48" s="30">
        <v>543.80713033219672</v>
      </c>
      <c r="L48" s="9">
        <v>31584.871255661426</v>
      </c>
    </row>
    <row r="49" spans="1:12" ht="15.75" x14ac:dyDescent="0.25">
      <c r="A49" s="1" t="s">
        <v>39</v>
      </c>
      <c r="B49" s="3" t="s">
        <v>40</v>
      </c>
      <c r="C49" s="31" t="s">
        <v>12</v>
      </c>
      <c r="D49" s="32">
        <v>815.84256310147828</v>
      </c>
      <c r="E49" s="32">
        <v>87.723718024210598</v>
      </c>
      <c r="F49" s="32">
        <v>71568.742957663315</v>
      </c>
      <c r="G49" s="20">
        <v>0.1</v>
      </c>
      <c r="H49" s="32">
        <v>734.25830679133048</v>
      </c>
      <c r="I49" s="23">
        <v>64411.86866189698</v>
      </c>
      <c r="J49" s="20">
        <v>0.2</v>
      </c>
      <c r="K49" s="33">
        <v>979.01107572177398</v>
      </c>
      <c r="L49" s="9">
        <v>85882.491549195984</v>
      </c>
    </row>
    <row r="50" spans="1:12" ht="15.75" x14ac:dyDescent="0.25">
      <c r="A50" s="1" t="s">
        <v>27</v>
      </c>
      <c r="B50" s="3" t="s">
        <v>36</v>
      </c>
      <c r="C50" s="34" t="s">
        <v>12</v>
      </c>
      <c r="D50" s="29">
        <v>653.48694583058182</v>
      </c>
      <c r="E50" s="29">
        <v>53.491556256636777</v>
      </c>
      <c r="F50" s="29">
        <v>34956.033725874317</v>
      </c>
      <c r="G50" s="21">
        <v>0.1</v>
      </c>
      <c r="H50" s="29">
        <v>588.13825124752361</v>
      </c>
      <c r="I50" s="23">
        <v>31460.430353286883</v>
      </c>
      <c r="J50" s="21">
        <v>0.2</v>
      </c>
      <c r="K50" s="30">
        <v>784.18433499669823</v>
      </c>
      <c r="L50" s="9">
        <v>41947.240471049183</v>
      </c>
    </row>
    <row r="51" spans="1:12" ht="15.75" x14ac:dyDescent="0.25">
      <c r="A51" s="1" t="s">
        <v>15</v>
      </c>
      <c r="B51" s="3" t="s">
        <v>32</v>
      </c>
      <c r="C51" s="31" t="s">
        <v>12</v>
      </c>
      <c r="D51" s="32">
        <v>406.10512281300959</v>
      </c>
      <c r="E51" s="32">
        <v>55.151007814455284</v>
      </c>
      <c r="F51" s="32">
        <v>22397.106801750615</v>
      </c>
      <c r="G51" s="20">
        <v>0.1</v>
      </c>
      <c r="H51" s="32">
        <v>365.49461053170864</v>
      </c>
      <c r="I51" s="23">
        <v>20157.396121575555</v>
      </c>
      <c r="J51" s="20">
        <v>0.2</v>
      </c>
      <c r="K51" s="33">
        <v>487.32614737561153</v>
      </c>
      <c r="L51" s="9">
        <v>26876.528162100738</v>
      </c>
    </row>
    <row r="52" spans="1:12" ht="15.75" x14ac:dyDescent="0.25">
      <c r="A52" s="1" t="s">
        <v>39</v>
      </c>
      <c r="B52" s="3" t="s">
        <v>45</v>
      </c>
      <c r="C52" s="34" t="s">
        <v>12</v>
      </c>
      <c r="D52" s="29">
        <v>318.39518489575778</v>
      </c>
      <c r="E52" s="29">
        <v>72.856456290300414</v>
      </c>
      <c r="F52" s="29">
        <v>23197.144871399894</v>
      </c>
      <c r="G52" s="21">
        <v>0.1</v>
      </c>
      <c r="H52" s="29">
        <v>286.55566640618201</v>
      </c>
      <c r="I52" s="23">
        <v>20877.430384259904</v>
      </c>
      <c r="J52" s="21">
        <v>0.2</v>
      </c>
      <c r="K52" s="30">
        <v>382.07422187490931</v>
      </c>
      <c r="L52" s="9">
        <v>27836.573845679872</v>
      </c>
    </row>
    <row r="53" spans="1:12" ht="15.75" x14ac:dyDescent="0.25">
      <c r="A53" s="1" t="s">
        <v>27</v>
      </c>
      <c r="B53" s="3" t="s">
        <v>28</v>
      </c>
      <c r="C53" s="31" t="s">
        <v>12</v>
      </c>
      <c r="D53" s="32">
        <v>215.05036275730859</v>
      </c>
      <c r="E53" s="32">
        <v>21.96297874415438</v>
      </c>
      <c r="F53" s="32">
        <v>4723.1465461614571</v>
      </c>
      <c r="G53" s="20">
        <v>0.1</v>
      </c>
      <c r="H53" s="32">
        <v>193.54532648157772</v>
      </c>
      <c r="I53" s="23">
        <v>4250.831891545311</v>
      </c>
      <c r="J53" s="20">
        <v>0.2</v>
      </c>
      <c r="K53" s="33">
        <v>258.06043530877031</v>
      </c>
      <c r="L53" s="9">
        <v>5667.7758553937492</v>
      </c>
    </row>
    <row r="54" spans="1:12" ht="15.75" x14ac:dyDescent="0.25">
      <c r="A54" s="1" t="s">
        <v>22</v>
      </c>
      <c r="B54" s="3" t="s">
        <v>32</v>
      </c>
      <c r="C54" s="34" t="s">
        <v>12</v>
      </c>
      <c r="D54" s="29">
        <v>391.12345509496339</v>
      </c>
      <c r="E54" s="29">
        <v>61.73714187600541</v>
      </c>
      <c r="F54" s="29">
        <v>24146.844238231184</v>
      </c>
      <c r="G54" s="21">
        <v>0.1</v>
      </c>
      <c r="H54" s="29">
        <v>352.01110958546707</v>
      </c>
      <c r="I54" s="23">
        <v>21732.159814408067</v>
      </c>
      <c r="J54" s="21">
        <v>0.2</v>
      </c>
      <c r="K54" s="30">
        <v>469.34814611395609</v>
      </c>
      <c r="L54" s="9">
        <v>28976.213085877425</v>
      </c>
    </row>
    <row r="55" spans="1:12" ht="15.75" x14ac:dyDescent="0.25">
      <c r="A55" s="1" t="s">
        <v>22</v>
      </c>
      <c r="B55" s="3" t="s">
        <v>32</v>
      </c>
      <c r="C55" s="31" t="s">
        <v>12</v>
      </c>
      <c r="D55" s="32">
        <v>379.87226201623901</v>
      </c>
      <c r="E55" s="32">
        <v>51.993027301752832</v>
      </c>
      <c r="F55" s="32">
        <v>19750.708890188918</v>
      </c>
      <c r="G55" s="20">
        <v>0.1</v>
      </c>
      <c r="H55" s="32">
        <v>341.88503581461509</v>
      </c>
      <c r="I55" s="23">
        <v>17775.638001170028</v>
      </c>
      <c r="J55" s="20">
        <v>0.2</v>
      </c>
      <c r="K55" s="33">
        <v>455.84671441948683</v>
      </c>
      <c r="L55" s="9">
        <v>23700.850668226703</v>
      </c>
    </row>
    <row r="56" spans="1:12" ht="15.75" x14ac:dyDescent="0.25">
      <c r="A56" s="1" t="s">
        <v>22</v>
      </c>
      <c r="B56" s="3" t="s">
        <v>24</v>
      </c>
      <c r="C56" s="34" t="s">
        <v>12</v>
      </c>
      <c r="D56" s="29">
        <v>255.83127000579549</v>
      </c>
      <c r="E56" s="29">
        <v>80.99868810035079</v>
      </c>
      <c r="F56" s="29">
        <v>20721.997245516057</v>
      </c>
      <c r="G56" s="21">
        <v>0.1</v>
      </c>
      <c r="H56" s="29">
        <v>230.24814300521592</v>
      </c>
      <c r="I56" s="23">
        <v>18649.79752096445</v>
      </c>
      <c r="J56" s="21">
        <v>0.2</v>
      </c>
      <c r="K56" s="30">
        <v>306.99752400695456</v>
      </c>
      <c r="L56" s="9">
        <v>24866.396694619267</v>
      </c>
    </row>
    <row r="57" spans="1:12" ht="15.75" x14ac:dyDescent="0.25">
      <c r="A57" s="1" t="s">
        <v>22</v>
      </c>
      <c r="B57" s="3" t="s">
        <v>24</v>
      </c>
      <c r="C57" s="31" t="s">
        <v>12</v>
      </c>
      <c r="D57" s="32">
        <v>771.24800571416461</v>
      </c>
      <c r="E57" s="32">
        <v>58.255618538729962</v>
      </c>
      <c r="F57" s="32">
        <v>44929.529619640598</v>
      </c>
      <c r="G57" s="20">
        <v>0.1</v>
      </c>
      <c r="H57" s="32">
        <v>694.12320514274813</v>
      </c>
      <c r="I57" s="23">
        <v>40436.576657676538</v>
      </c>
      <c r="J57" s="20">
        <v>0.2</v>
      </c>
      <c r="K57" s="33">
        <v>925.49760685699755</v>
      </c>
      <c r="L57" s="9">
        <v>53915.435543568718</v>
      </c>
    </row>
    <row r="58" spans="1:12" ht="15.75" x14ac:dyDescent="0.25">
      <c r="A58" s="1" t="s">
        <v>39</v>
      </c>
      <c r="B58" s="3" t="s">
        <v>43</v>
      </c>
      <c r="C58" s="34" t="s">
        <v>12</v>
      </c>
      <c r="D58" s="29">
        <v>485.59797568393321</v>
      </c>
      <c r="E58" s="29">
        <v>66.441203199889799</v>
      </c>
      <c r="F58" s="29">
        <v>32263.713775871351</v>
      </c>
      <c r="G58" s="21">
        <v>0.1</v>
      </c>
      <c r="H58" s="29">
        <v>437.03817811553989</v>
      </c>
      <c r="I58" s="23">
        <v>29037.342398284214</v>
      </c>
      <c r="J58" s="21">
        <v>0.2</v>
      </c>
      <c r="K58" s="30">
        <v>582.71757082071986</v>
      </c>
      <c r="L58" s="9">
        <v>38716.456531045624</v>
      </c>
    </row>
    <row r="59" spans="1:12" ht="15.75" x14ac:dyDescent="0.25">
      <c r="A59" s="1" t="s">
        <v>39</v>
      </c>
      <c r="B59" s="3" t="s">
        <v>40</v>
      </c>
      <c r="C59" s="31" t="s">
        <v>12</v>
      </c>
      <c r="D59" s="32">
        <v>517.40941364763421</v>
      </c>
      <c r="E59" s="32">
        <v>50.260037837558137</v>
      </c>
      <c r="F59" s="32">
        <v>26005.016707438866</v>
      </c>
      <c r="G59" s="20">
        <v>0.1</v>
      </c>
      <c r="H59" s="32">
        <v>465.66847228287077</v>
      </c>
      <c r="I59" s="23">
        <v>23404.515036694978</v>
      </c>
      <c r="J59" s="20">
        <v>0.2</v>
      </c>
      <c r="K59" s="33">
        <v>620.8912963771611</v>
      </c>
      <c r="L59" s="9">
        <v>31206.020048926639</v>
      </c>
    </row>
    <row r="60" spans="1:12" ht="15.75" x14ac:dyDescent="0.25">
      <c r="A60" s="1" t="s">
        <v>39</v>
      </c>
      <c r="B60" s="3" t="s">
        <v>36</v>
      </c>
      <c r="C60" s="34" t="s">
        <v>12</v>
      </c>
      <c r="D60" s="29">
        <v>102.4862170798214</v>
      </c>
      <c r="E60" s="29">
        <v>104.4033833317924</v>
      </c>
      <c r="F60" s="29">
        <v>10699.907808009883</v>
      </c>
      <c r="G60" s="21">
        <v>0.1</v>
      </c>
      <c r="H60" s="29">
        <v>92.237595371839262</v>
      </c>
      <c r="I60" s="23">
        <v>9629.9170272088941</v>
      </c>
      <c r="J60" s="21">
        <v>0.2</v>
      </c>
      <c r="K60" s="30">
        <v>122.98346049578568</v>
      </c>
      <c r="L60" s="9">
        <v>12839.889369611859</v>
      </c>
    </row>
    <row r="61" spans="1:12" ht="15.75" x14ac:dyDescent="0.25">
      <c r="A61" s="1" t="s">
        <v>22</v>
      </c>
      <c r="B61" s="3" t="s">
        <v>24</v>
      </c>
      <c r="C61" s="31" t="s">
        <v>12</v>
      </c>
      <c r="D61" s="32">
        <v>795.57880894830328</v>
      </c>
      <c r="E61" s="32">
        <v>28.582150038777751</v>
      </c>
      <c r="F61" s="32">
        <v>22739.352885032502</v>
      </c>
      <c r="G61" s="20">
        <v>0.1</v>
      </c>
      <c r="H61" s="32">
        <v>716.02092805347297</v>
      </c>
      <c r="I61" s="23">
        <v>20465.417596529252</v>
      </c>
      <c r="J61" s="20">
        <v>0.2</v>
      </c>
      <c r="K61" s="33">
        <v>954.69457073796389</v>
      </c>
      <c r="L61" s="9">
        <v>27287.223462039005</v>
      </c>
    </row>
    <row r="62" spans="1:12" ht="15.75" x14ac:dyDescent="0.25">
      <c r="A62" s="1" t="s">
        <v>39</v>
      </c>
      <c r="B62" s="3" t="s">
        <v>45</v>
      </c>
      <c r="C62" s="34" t="s">
        <v>12</v>
      </c>
      <c r="D62" s="29">
        <v>338.30127942136238</v>
      </c>
      <c r="E62" s="29">
        <v>45.530744293482982</v>
      </c>
      <c r="F62" s="29">
        <v>15403.109047492188</v>
      </c>
      <c r="G62" s="21">
        <v>0.1</v>
      </c>
      <c r="H62" s="29">
        <v>304.47115147922614</v>
      </c>
      <c r="I62" s="23">
        <v>13862.79814274297</v>
      </c>
      <c r="J62" s="21">
        <v>0.2</v>
      </c>
      <c r="K62" s="30">
        <v>405.96153530563487</v>
      </c>
      <c r="L62" s="9">
        <v>18483.730856990624</v>
      </c>
    </row>
    <row r="63" spans="1:12" ht="15.75" x14ac:dyDescent="0.25">
      <c r="A63" s="1" t="s">
        <v>27</v>
      </c>
      <c r="B63" s="3" t="s">
        <v>38</v>
      </c>
      <c r="C63" s="31" t="s">
        <v>12</v>
      </c>
      <c r="D63" s="32">
        <v>602.65348662267127</v>
      </c>
      <c r="E63" s="32">
        <v>19.703055506282709</v>
      </c>
      <c r="F63" s="32">
        <v>11874.115097981296</v>
      </c>
      <c r="G63" s="20">
        <v>0.1</v>
      </c>
      <c r="H63" s="32">
        <v>542.38813796040415</v>
      </c>
      <c r="I63" s="23">
        <v>10686.703588183165</v>
      </c>
      <c r="J63" s="20">
        <v>0.2</v>
      </c>
      <c r="K63" s="33">
        <v>723.1841839472055</v>
      </c>
      <c r="L63" s="9">
        <v>14248.938117577554</v>
      </c>
    </row>
    <row r="64" spans="1:12" ht="15.75" x14ac:dyDescent="0.25">
      <c r="A64" s="1" t="s">
        <v>22</v>
      </c>
      <c r="B64" s="3" t="s">
        <v>36</v>
      </c>
      <c r="C64" s="34" t="s">
        <v>12</v>
      </c>
      <c r="D64" s="29">
        <v>519.41550986960806</v>
      </c>
      <c r="E64" s="29">
        <v>41.069700958659581</v>
      </c>
      <c r="F64" s="29">
        <v>21332.239663634497</v>
      </c>
      <c r="G64" s="21">
        <v>0.1</v>
      </c>
      <c r="H64" s="29">
        <v>467.47395888264725</v>
      </c>
      <c r="I64" s="23">
        <v>19199.015697271047</v>
      </c>
      <c r="J64" s="21">
        <v>0.2</v>
      </c>
      <c r="K64" s="30">
        <v>623.29861184352967</v>
      </c>
      <c r="L64" s="9">
        <v>25598.687596361397</v>
      </c>
    </row>
    <row r="65" spans="1:12" ht="15.75" x14ac:dyDescent="0.25">
      <c r="A65" s="1" t="s">
        <v>15</v>
      </c>
      <c r="B65" s="3" t="s">
        <v>36</v>
      </c>
      <c r="C65" s="31" t="s">
        <v>12</v>
      </c>
      <c r="D65" s="32">
        <v>434.46757068044627</v>
      </c>
      <c r="E65" s="32">
        <v>25.085224425760241</v>
      </c>
      <c r="F65" s="32">
        <v>10898.716516233844</v>
      </c>
      <c r="G65" s="20">
        <v>0.1</v>
      </c>
      <c r="H65" s="32">
        <v>391.02081361240164</v>
      </c>
      <c r="I65" s="23">
        <v>9808.8448646104589</v>
      </c>
      <c r="J65" s="20">
        <v>0.2</v>
      </c>
      <c r="K65" s="33">
        <v>521.36108481653559</v>
      </c>
      <c r="L65" s="9">
        <v>13078.459819480615</v>
      </c>
    </row>
    <row r="66" spans="1:12" ht="15.75" x14ac:dyDescent="0.25">
      <c r="A66" s="1" t="s">
        <v>27</v>
      </c>
      <c r="B66" s="3" t="s">
        <v>45</v>
      </c>
      <c r="C66" s="34" t="s">
        <v>12</v>
      </c>
      <c r="D66" s="29">
        <v>207.29701037357631</v>
      </c>
      <c r="E66" s="29">
        <v>57.706347594576727</v>
      </c>
      <c r="F66" s="29">
        <v>11962.353335934173</v>
      </c>
      <c r="G66" s="21">
        <v>0.1</v>
      </c>
      <c r="H66" s="29">
        <v>186.56730933621867</v>
      </c>
      <c r="I66" s="23">
        <v>10766.118002340756</v>
      </c>
      <c r="J66" s="21">
        <v>0.2</v>
      </c>
      <c r="K66" s="30">
        <v>248.75641244829157</v>
      </c>
      <c r="L66" s="9">
        <v>14354.824003121006</v>
      </c>
    </row>
    <row r="67" spans="1:12" ht="15.75" x14ac:dyDescent="0.25">
      <c r="A67" s="1" t="s">
        <v>39</v>
      </c>
      <c r="B67" s="3" t="s">
        <v>38</v>
      </c>
      <c r="C67" s="31" t="s">
        <v>12</v>
      </c>
      <c r="D67" s="32">
        <v>501.02269132849221</v>
      </c>
      <c r="E67" s="32">
        <v>51.164174368920001</v>
      </c>
      <c r="F67" s="32">
        <v>25634.412341916559</v>
      </c>
      <c r="G67" s="20">
        <v>0.1</v>
      </c>
      <c r="H67" s="32">
        <v>450.92042219564297</v>
      </c>
      <c r="I67" s="23">
        <v>23070.971107724901</v>
      </c>
      <c r="J67" s="20">
        <v>0.2</v>
      </c>
      <c r="K67" s="33">
        <v>601.2272295941907</v>
      </c>
      <c r="L67" s="9">
        <v>30761.294810299874</v>
      </c>
    </row>
    <row r="68" spans="1:12" ht="15.75" x14ac:dyDescent="0.25">
      <c r="A68" s="1" t="s">
        <v>27</v>
      </c>
      <c r="B68" s="3" t="s">
        <v>28</v>
      </c>
      <c r="C68" s="34" t="s">
        <v>25</v>
      </c>
      <c r="D68" s="29">
        <v>629.53770762013846</v>
      </c>
      <c r="E68" s="29">
        <v>43.145709669464608</v>
      </c>
      <c r="F68" s="29">
        <v>27161.851158958791</v>
      </c>
      <c r="G68" s="21">
        <v>0.1</v>
      </c>
      <c r="H68" s="29">
        <v>566.58393685812462</v>
      </c>
      <c r="I68" s="23">
        <v>24445.666043062913</v>
      </c>
      <c r="J68" s="21">
        <v>0.21</v>
      </c>
      <c r="K68" s="30">
        <v>761.74062622036752</v>
      </c>
      <c r="L68" s="9">
        <v>32865.839902340136</v>
      </c>
    </row>
    <row r="69" spans="1:12" ht="15.75" x14ac:dyDescent="0.25">
      <c r="A69" s="1" t="s">
        <v>15</v>
      </c>
      <c r="B69" s="3" t="s">
        <v>32</v>
      </c>
      <c r="C69" s="31" t="s">
        <v>25</v>
      </c>
      <c r="D69" s="32">
        <v>406.85404928594858</v>
      </c>
      <c r="E69" s="32">
        <v>49.469722491015659</v>
      </c>
      <c r="F69" s="32">
        <v>20126.956912521884</v>
      </c>
      <c r="G69" s="20">
        <v>0.1</v>
      </c>
      <c r="H69" s="32">
        <v>366.16864435735374</v>
      </c>
      <c r="I69" s="23">
        <v>18114.261221269695</v>
      </c>
      <c r="J69" s="20">
        <v>0.21</v>
      </c>
      <c r="K69" s="33">
        <v>492.29339963599779</v>
      </c>
      <c r="L69" s="9">
        <v>24353.617864151482</v>
      </c>
    </row>
    <row r="70" spans="1:12" ht="15.75" x14ac:dyDescent="0.25">
      <c r="A70" s="1" t="s">
        <v>15</v>
      </c>
      <c r="B70" s="3" t="s">
        <v>42</v>
      </c>
      <c r="C70" s="34" t="s">
        <v>25</v>
      </c>
      <c r="D70" s="29">
        <v>548.39245431320683</v>
      </c>
      <c r="E70" s="29">
        <v>51.204604198820533</v>
      </c>
      <c r="F70" s="29">
        <v>28080.218568727527</v>
      </c>
      <c r="G70" s="21">
        <v>0.1</v>
      </c>
      <c r="H70" s="29">
        <v>493.55320888188612</v>
      </c>
      <c r="I70" s="23">
        <v>25272.196711854773</v>
      </c>
      <c r="J70" s="21">
        <v>0.21</v>
      </c>
      <c r="K70" s="30">
        <v>663.55486971898029</v>
      </c>
      <c r="L70" s="9">
        <v>33977.064468160308</v>
      </c>
    </row>
    <row r="71" spans="1:12" ht="15.75" x14ac:dyDescent="0.25">
      <c r="A71" s="1" t="s">
        <v>27</v>
      </c>
      <c r="B71" s="3" t="s">
        <v>43</v>
      </c>
      <c r="C71" s="31" t="s">
        <v>25</v>
      </c>
      <c r="D71" s="32">
        <v>117.3439510684404</v>
      </c>
      <c r="E71" s="32">
        <v>99.264842249705723</v>
      </c>
      <c r="F71" s="32">
        <v>11648.128791765925</v>
      </c>
      <c r="G71" s="20">
        <v>0.1</v>
      </c>
      <c r="H71" s="32">
        <v>105.60955596159636</v>
      </c>
      <c r="I71" s="23">
        <v>10483.315912589333</v>
      </c>
      <c r="J71" s="20">
        <v>0.21</v>
      </c>
      <c r="K71" s="33">
        <v>141.98618079281289</v>
      </c>
      <c r="L71" s="9">
        <v>14094.235838036768</v>
      </c>
    </row>
    <row r="72" spans="1:12" ht="15.75" x14ac:dyDescent="0.25">
      <c r="A72" s="1" t="s">
        <v>27</v>
      </c>
      <c r="B72" s="3" t="s">
        <v>28</v>
      </c>
      <c r="C72" s="34" t="s">
        <v>25</v>
      </c>
      <c r="D72" s="29">
        <v>155.01643349739351</v>
      </c>
      <c r="E72" s="29">
        <v>46.152780704377548</v>
      </c>
      <c r="F72" s="29">
        <v>7154.4394607799286</v>
      </c>
      <c r="G72" s="21">
        <v>0.1</v>
      </c>
      <c r="H72" s="29">
        <v>139.51479014765417</v>
      </c>
      <c r="I72" s="23">
        <v>6438.9955147019355</v>
      </c>
      <c r="J72" s="21">
        <v>0.21</v>
      </c>
      <c r="K72" s="30">
        <v>187.56988453184613</v>
      </c>
      <c r="L72" s="9">
        <v>8656.8717475437134</v>
      </c>
    </row>
    <row r="73" spans="1:12" ht="15.75" x14ac:dyDescent="0.25">
      <c r="A73" s="1" t="s">
        <v>27</v>
      </c>
      <c r="B73" s="3" t="s">
        <v>28</v>
      </c>
      <c r="C73" s="31" t="s">
        <v>25</v>
      </c>
      <c r="D73" s="32">
        <v>793.12975378431088</v>
      </c>
      <c r="E73" s="32">
        <v>65.820638940860931</v>
      </c>
      <c r="F73" s="32">
        <v>52204.307157091054</v>
      </c>
      <c r="G73" s="20">
        <v>0.1</v>
      </c>
      <c r="H73" s="32">
        <v>713.81677840587975</v>
      </c>
      <c r="I73" s="23">
        <v>46983.876441381944</v>
      </c>
      <c r="J73" s="20">
        <v>0.21</v>
      </c>
      <c r="K73" s="33">
        <v>959.68700207901611</v>
      </c>
      <c r="L73" s="9">
        <v>63167.211660080175</v>
      </c>
    </row>
    <row r="74" spans="1:12" ht="15.75" x14ac:dyDescent="0.25">
      <c r="A74" s="1" t="s">
        <v>15</v>
      </c>
      <c r="B74" s="3" t="s">
        <v>43</v>
      </c>
      <c r="C74" s="34" t="s">
        <v>25</v>
      </c>
      <c r="D74" s="29">
        <v>575.13960366913443</v>
      </c>
      <c r="E74" s="29">
        <v>38.674045407944561</v>
      </c>
      <c r="F74" s="29">
        <v>22242.975148207344</v>
      </c>
      <c r="G74" s="21">
        <v>0.1</v>
      </c>
      <c r="H74" s="29">
        <v>517.62564330222096</v>
      </c>
      <c r="I74" s="23">
        <v>20018.677633386611</v>
      </c>
      <c r="J74" s="21">
        <v>0.21</v>
      </c>
      <c r="K74" s="30">
        <v>695.91892043965265</v>
      </c>
      <c r="L74" s="9">
        <v>26913.999929330887</v>
      </c>
    </row>
    <row r="75" spans="1:12" ht="15.75" x14ac:dyDescent="0.25">
      <c r="A75" s="1" t="s">
        <v>27</v>
      </c>
      <c r="B75" s="3" t="s">
        <v>45</v>
      </c>
      <c r="C75" s="31" t="s">
        <v>25</v>
      </c>
      <c r="D75" s="32">
        <v>288.45781420882003</v>
      </c>
      <c r="E75" s="32">
        <v>59.471848612703631</v>
      </c>
      <c r="F75" s="32">
        <v>17155.119457778335</v>
      </c>
      <c r="G75" s="20">
        <v>0.1</v>
      </c>
      <c r="H75" s="32">
        <v>259.61203278793801</v>
      </c>
      <c r="I75" s="23">
        <v>15439.607512000501</v>
      </c>
      <c r="J75" s="20">
        <v>0.21</v>
      </c>
      <c r="K75" s="33">
        <v>349.03395519267224</v>
      </c>
      <c r="L75" s="9">
        <v>20757.694543911784</v>
      </c>
    </row>
    <row r="76" spans="1:12" ht="15.75" x14ac:dyDescent="0.25">
      <c r="A76" s="1" t="s">
        <v>39</v>
      </c>
      <c r="B76" s="3" t="s">
        <v>43</v>
      </c>
      <c r="C76" s="34" t="s">
        <v>25</v>
      </c>
      <c r="D76" s="29">
        <v>711.42444524378311</v>
      </c>
      <c r="E76" s="29">
        <v>23.590867738314468</v>
      </c>
      <c r="F76" s="29">
        <v>16783.11999354983</v>
      </c>
      <c r="G76" s="21">
        <v>0.1</v>
      </c>
      <c r="H76" s="29">
        <v>640.28200071940478</v>
      </c>
      <c r="I76" s="23">
        <v>15104.807994194847</v>
      </c>
      <c r="J76" s="21">
        <v>0.21</v>
      </c>
      <c r="K76" s="30">
        <v>860.82357874497757</v>
      </c>
      <c r="L76" s="9">
        <v>20307.575192195294</v>
      </c>
    </row>
    <row r="77" spans="1:12" ht="15.75" x14ac:dyDescent="0.25">
      <c r="A77" s="1" t="s">
        <v>15</v>
      </c>
      <c r="B77" s="3" t="s">
        <v>40</v>
      </c>
      <c r="C77" s="31" t="s">
        <v>25</v>
      </c>
      <c r="D77" s="32">
        <v>568.72365791369225</v>
      </c>
      <c r="E77" s="32">
        <v>60.438831312337953</v>
      </c>
      <c r="F77" s="32">
        <v>34372.993223981444</v>
      </c>
      <c r="G77" s="20">
        <v>0.1</v>
      </c>
      <c r="H77" s="32">
        <v>511.851292122323</v>
      </c>
      <c r="I77" s="23">
        <v>30935.693901583298</v>
      </c>
      <c r="J77" s="20">
        <v>0.21</v>
      </c>
      <c r="K77" s="33">
        <v>688.15562607556762</v>
      </c>
      <c r="L77" s="9">
        <v>41591.321801017548</v>
      </c>
    </row>
    <row r="78" spans="1:12" ht="15.75" x14ac:dyDescent="0.25">
      <c r="A78" s="1" t="s">
        <v>22</v>
      </c>
      <c r="B78" s="3" t="s">
        <v>40</v>
      </c>
      <c r="C78" s="34" t="s">
        <v>25</v>
      </c>
      <c r="D78" s="29">
        <v>147.39196892745321</v>
      </c>
      <c r="E78" s="29">
        <v>55.939693464663719</v>
      </c>
      <c r="F78" s="29">
        <v>8245.0615609549714</v>
      </c>
      <c r="G78" s="21">
        <v>0.1</v>
      </c>
      <c r="H78" s="29">
        <v>132.65277203470788</v>
      </c>
      <c r="I78" s="23">
        <v>7420.555404859474</v>
      </c>
      <c r="J78" s="21">
        <v>0.21</v>
      </c>
      <c r="K78" s="30">
        <v>178.34428240221837</v>
      </c>
      <c r="L78" s="9">
        <v>9976.5244887555164</v>
      </c>
    </row>
    <row r="79" spans="1:12" ht="15.75" x14ac:dyDescent="0.25">
      <c r="A79" s="1" t="s">
        <v>39</v>
      </c>
      <c r="B79" s="3" t="s">
        <v>43</v>
      </c>
      <c r="C79" s="31" t="s">
        <v>25</v>
      </c>
      <c r="D79" s="32">
        <v>622.33525776817362</v>
      </c>
      <c r="E79" s="32">
        <v>54.645073943220069</v>
      </c>
      <c r="F79" s="32">
        <v>34007.556178214771</v>
      </c>
      <c r="G79" s="20">
        <v>0.1</v>
      </c>
      <c r="H79" s="32">
        <v>560.10173199135625</v>
      </c>
      <c r="I79" s="23">
        <v>30606.800560393294</v>
      </c>
      <c r="J79" s="20">
        <v>0.21</v>
      </c>
      <c r="K79" s="33">
        <v>753.02566189949005</v>
      </c>
      <c r="L79" s="9">
        <v>41149.142975639872</v>
      </c>
    </row>
    <row r="80" spans="1:12" ht="15.75" x14ac:dyDescent="0.25">
      <c r="A80" s="1" t="s">
        <v>22</v>
      </c>
      <c r="B80" s="3" t="s">
        <v>45</v>
      </c>
      <c r="C80" s="34" t="s">
        <v>25</v>
      </c>
      <c r="D80" s="29">
        <v>706.19990449919021</v>
      </c>
      <c r="E80" s="29">
        <v>55.861449465973621</v>
      </c>
      <c r="F80" s="29">
        <v>39449.350278056911</v>
      </c>
      <c r="G80" s="21">
        <v>0.1</v>
      </c>
      <c r="H80" s="29">
        <v>635.57991404927122</v>
      </c>
      <c r="I80" s="23">
        <v>35504.415250251222</v>
      </c>
      <c r="J80" s="21">
        <v>0.21</v>
      </c>
      <c r="K80" s="30">
        <v>854.50188444402011</v>
      </c>
      <c r="L80" s="9">
        <v>47733.713836448856</v>
      </c>
    </row>
    <row r="81" spans="1:12" ht="15.75" x14ac:dyDescent="0.25">
      <c r="A81" s="1" t="s">
        <v>27</v>
      </c>
      <c r="B81" s="3" t="s">
        <v>24</v>
      </c>
      <c r="C81" s="31" t="s">
        <v>25</v>
      </c>
      <c r="D81" s="32">
        <v>438.15752482975711</v>
      </c>
      <c r="E81" s="32">
        <v>59.476658418235751</v>
      </c>
      <c r="F81" s="32">
        <v>26060.145437679112</v>
      </c>
      <c r="G81" s="20">
        <v>0.1</v>
      </c>
      <c r="H81" s="32">
        <v>394.3417723467814</v>
      </c>
      <c r="I81" s="23">
        <v>23454.130893911199</v>
      </c>
      <c r="J81" s="20">
        <v>0.21</v>
      </c>
      <c r="K81" s="33">
        <v>530.17060504400615</v>
      </c>
      <c r="L81" s="9">
        <v>31532.77597959173</v>
      </c>
    </row>
    <row r="82" spans="1:12" ht="15.75" x14ac:dyDescent="0.25">
      <c r="A82" s="1" t="s">
        <v>22</v>
      </c>
      <c r="B82" s="3" t="s">
        <v>36</v>
      </c>
      <c r="C82" s="34" t="s">
        <v>25</v>
      </c>
      <c r="D82" s="29">
        <v>404.16515243094199</v>
      </c>
      <c r="E82" s="29">
        <v>30.506366595453571</v>
      </c>
      <c r="F82" s="29">
        <v>12329.61030516569</v>
      </c>
      <c r="G82" s="21">
        <v>0.1</v>
      </c>
      <c r="H82" s="29">
        <v>363.74863718784781</v>
      </c>
      <c r="I82" s="23">
        <v>11096.64927464912</v>
      </c>
      <c r="J82" s="21">
        <v>0.21</v>
      </c>
      <c r="K82" s="30">
        <v>489.03983444143978</v>
      </c>
      <c r="L82" s="9">
        <v>14918.828469250484</v>
      </c>
    </row>
    <row r="83" spans="1:12" ht="15.75" x14ac:dyDescent="0.25">
      <c r="A83" s="1" t="s">
        <v>15</v>
      </c>
      <c r="B83" s="3" t="s">
        <v>36</v>
      </c>
      <c r="C83" s="31" t="s">
        <v>25</v>
      </c>
      <c r="D83" s="32">
        <v>572.32720500952678</v>
      </c>
      <c r="E83" s="32">
        <v>45.092237679942592</v>
      </c>
      <c r="F83" s="32">
        <v>25807.514358986813</v>
      </c>
      <c r="G83" s="20">
        <v>0.1</v>
      </c>
      <c r="H83" s="32">
        <v>515.09448450857406</v>
      </c>
      <c r="I83" s="23">
        <v>23226.762923088132</v>
      </c>
      <c r="J83" s="20">
        <v>0.21</v>
      </c>
      <c r="K83" s="33">
        <v>692.51591806152737</v>
      </c>
      <c r="L83" s="9">
        <v>31227.092374374042</v>
      </c>
    </row>
    <row r="84" spans="1:12" ht="15.75" x14ac:dyDescent="0.25">
      <c r="A84" s="1" t="s">
        <v>22</v>
      </c>
      <c r="B84" s="3" t="s">
        <v>28</v>
      </c>
      <c r="C84" s="34" t="s">
        <v>25</v>
      </c>
      <c r="D84" s="29">
        <v>456.06562243249761</v>
      </c>
      <c r="E84" s="29">
        <v>62.513346955300122</v>
      </c>
      <c r="F84" s="29">
        <v>28510.188489507629</v>
      </c>
      <c r="G84" s="21">
        <v>0.1</v>
      </c>
      <c r="H84" s="29">
        <v>410.45906018924785</v>
      </c>
      <c r="I84" s="23">
        <v>25659.169640556865</v>
      </c>
      <c r="J84" s="21">
        <v>0.21</v>
      </c>
      <c r="K84" s="30">
        <v>551.8394031433221</v>
      </c>
      <c r="L84" s="9">
        <v>34497.328072304234</v>
      </c>
    </row>
    <row r="85" spans="1:12" ht="15.75" x14ac:dyDescent="0.25">
      <c r="A85" s="1" t="s">
        <v>22</v>
      </c>
      <c r="B85" s="3" t="s">
        <v>45</v>
      </c>
      <c r="C85" s="31" t="s">
        <v>25</v>
      </c>
      <c r="D85" s="32">
        <v>396.34595634527051</v>
      </c>
      <c r="E85" s="32">
        <v>59.649448304863697</v>
      </c>
      <c r="F85" s="32">
        <v>23641.817633858976</v>
      </c>
      <c r="G85" s="20">
        <v>0.1</v>
      </c>
      <c r="H85" s="32">
        <v>356.71136071074346</v>
      </c>
      <c r="I85" s="23">
        <v>21277.635870473077</v>
      </c>
      <c r="J85" s="20">
        <v>0.21</v>
      </c>
      <c r="K85" s="33">
        <v>479.57860717777731</v>
      </c>
      <c r="L85" s="9">
        <v>28606.599336969361</v>
      </c>
    </row>
    <row r="86" spans="1:12" ht="15.75" x14ac:dyDescent="0.25">
      <c r="A86" s="1" t="s">
        <v>15</v>
      </c>
      <c r="B86" s="3" t="s">
        <v>45</v>
      </c>
      <c r="C86" s="34" t="s">
        <v>25</v>
      </c>
      <c r="D86" s="29">
        <v>693.72899810657782</v>
      </c>
      <c r="E86" s="29">
        <v>67.127975886469443</v>
      </c>
      <c r="F86" s="29">
        <v>46568.623456642963</v>
      </c>
      <c r="G86" s="21">
        <v>0.1</v>
      </c>
      <c r="H86" s="29">
        <v>624.35609829591999</v>
      </c>
      <c r="I86" s="23">
        <v>41911.761110978667</v>
      </c>
      <c r="J86" s="21">
        <v>0.21</v>
      </c>
      <c r="K86" s="30">
        <v>839.41208770895912</v>
      </c>
      <c r="L86" s="9">
        <v>56348.034382537982</v>
      </c>
    </row>
    <row r="87" spans="1:12" ht="15.75" x14ac:dyDescent="0.25">
      <c r="A87" s="1" t="s">
        <v>22</v>
      </c>
      <c r="B87" s="3" t="s">
        <v>32</v>
      </c>
      <c r="C87" s="31" t="s">
        <v>29</v>
      </c>
      <c r="D87" s="32">
        <v>804.60597128160509</v>
      </c>
      <c r="E87" s="32">
        <v>33.95445461556762</v>
      </c>
      <c r="F87" s="32">
        <v>27319.956935295962</v>
      </c>
      <c r="G87" s="20">
        <v>0.09</v>
      </c>
      <c r="H87" s="32">
        <v>732.1914338662607</v>
      </c>
      <c r="I87" s="23">
        <v>24861.160811119327</v>
      </c>
      <c r="J87" s="20">
        <v>0.21</v>
      </c>
      <c r="K87" s="33">
        <v>973.5732252507421</v>
      </c>
      <c r="L87" s="9">
        <v>33057.147891708111</v>
      </c>
    </row>
    <row r="88" spans="1:12" ht="15.75" x14ac:dyDescent="0.25">
      <c r="A88" s="1" t="s">
        <v>27</v>
      </c>
      <c r="B88" s="3" t="s">
        <v>32</v>
      </c>
      <c r="C88" s="34" t="s">
        <v>29</v>
      </c>
      <c r="D88" s="29">
        <v>407.31646143750748</v>
      </c>
      <c r="E88" s="29">
        <v>11.624575694019169</v>
      </c>
      <c r="F88" s="29">
        <v>4734.881037400346</v>
      </c>
      <c r="G88" s="21">
        <v>0.09</v>
      </c>
      <c r="H88" s="29">
        <v>370.65797990813184</v>
      </c>
      <c r="I88" s="23">
        <v>4308.7417440343152</v>
      </c>
      <c r="J88" s="21">
        <v>0.21</v>
      </c>
      <c r="K88" s="30">
        <v>492.85291833938402</v>
      </c>
      <c r="L88" s="9">
        <v>5729.2060552544181</v>
      </c>
    </row>
    <row r="89" spans="1:12" ht="15.75" x14ac:dyDescent="0.25">
      <c r="A89" s="1" t="s">
        <v>15</v>
      </c>
      <c r="B89" s="3" t="s">
        <v>42</v>
      </c>
      <c r="C89" s="31" t="s">
        <v>29</v>
      </c>
      <c r="D89" s="32">
        <v>562.84946651905477</v>
      </c>
      <c r="E89" s="32">
        <v>26.626439247609358</v>
      </c>
      <c r="F89" s="32">
        <v>14986.677125818949</v>
      </c>
      <c r="G89" s="20">
        <v>0.09</v>
      </c>
      <c r="H89" s="32">
        <v>512.19301453233982</v>
      </c>
      <c r="I89" s="23">
        <v>13637.876184495244</v>
      </c>
      <c r="J89" s="20">
        <v>0.21</v>
      </c>
      <c r="K89" s="33">
        <v>681.04785448805626</v>
      </c>
      <c r="L89" s="9">
        <v>18133.879322240929</v>
      </c>
    </row>
    <row r="90" spans="1:12" ht="15.75" x14ac:dyDescent="0.25">
      <c r="A90" s="1" t="s">
        <v>15</v>
      </c>
      <c r="B90" s="3" t="s">
        <v>43</v>
      </c>
      <c r="C90" s="34" t="s">
        <v>29</v>
      </c>
      <c r="D90" s="29">
        <v>513.50564093758476</v>
      </c>
      <c r="E90" s="29">
        <v>78.05588621872198</v>
      </c>
      <c r="F90" s="29">
        <v>40082.13788169602</v>
      </c>
      <c r="G90" s="21">
        <v>0.09</v>
      </c>
      <c r="H90" s="29">
        <v>467.29013325320216</v>
      </c>
      <c r="I90" s="23">
        <v>36474.745472343377</v>
      </c>
      <c r="J90" s="21">
        <v>0.21</v>
      </c>
      <c r="K90" s="30">
        <v>621.34182553447749</v>
      </c>
      <c r="L90" s="9">
        <v>48499.38683685218</v>
      </c>
    </row>
    <row r="91" spans="1:12" ht="15.75" x14ac:dyDescent="0.25">
      <c r="A91" s="1" t="s">
        <v>27</v>
      </c>
      <c r="B91" s="3" t="s">
        <v>24</v>
      </c>
      <c r="C91" s="31" t="s">
        <v>29</v>
      </c>
      <c r="D91" s="32">
        <v>522.18451794197324</v>
      </c>
      <c r="E91" s="32">
        <v>93.809112516199576</v>
      </c>
      <c r="F91" s="32">
        <v>48985.666197836006</v>
      </c>
      <c r="G91" s="20">
        <v>0.09</v>
      </c>
      <c r="H91" s="32">
        <v>475.18791132719565</v>
      </c>
      <c r="I91" s="23">
        <v>44576.956240030762</v>
      </c>
      <c r="J91" s="20">
        <v>0.21</v>
      </c>
      <c r="K91" s="33">
        <v>631.8432667097876</v>
      </c>
      <c r="L91" s="9">
        <v>59272.656099381566</v>
      </c>
    </row>
    <row r="92" spans="1:12" ht="15.75" x14ac:dyDescent="0.25">
      <c r="A92" s="1" t="s">
        <v>22</v>
      </c>
      <c r="B92" s="3" t="s">
        <v>43</v>
      </c>
      <c r="C92" s="34" t="s">
        <v>29</v>
      </c>
      <c r="D92" s="29">
        <v>269.80128451553952</v>
      </c>
      <c r="E92" s="29">
        <v>30.189273497386228</v>
      </c>
      <c r="F92" s="29">
        <v>8145.104768185739</v>
      </c>
      <c r="G92" s="21">
        <v>0.09</v>
      </c>
      <c r="H92" s="29">
        <v>245.51916890914097</v>
      </c>
      <c r="I92" s="23">
        <v>7412.045339049022</v>
      </c>
      <c r="J92" s="21">
        <v>0.21</v>
      </c>
      <c r="K92" s="30">
        <v>326.45955426380283</v>
      </c>
      <c r="L92" s="9">
        <v>9855.5767695047434</v>
      </c>
    </row>
    <row r="93" spans="1:12" ht="15.75" x14ac:dyDescent="0.25">
      <c r="A93" s="1" t="s">
        <v>27</v>
      </c>
      <c r="B93" s="3" t="s">
        <v>32</v>
      </c>
      <c r="C93" s="31" t="s">
        <v>29</v>
      </c>
      <c r="D93" s="32">
        <v>497.30055505241319</v>
      </c>
      <c r="E93" s="32">
        <v>28.753925725477899</v>
      </c>
      <c r="F93" s="32">
        <v>14299.343223216021</v>
      </c>
      <c r="G93" s="20">
        <v>0.09</v>
      </c>
      <c r="H93" s="32">
        <v>452.54350509769603</v>
      </c>
      <c r="I93" s="23">
        <v>13012.40233312658</v>
      </c>
      <c r="J93" s="20">
        <v>0.21</v>
      </c>
      <c r="K93" s="33">
        <v>601.73367161341992</v>
      </c>
      <c r="L93" s="9">
        <v>17302.205300091384</v>
      </c>
    </row>
    <row r="94" spans="1:12" ht="15.75" x14ac:dyDescent="0.25">
      <c r="A94" s="1" t="s">
        <v>15</v>
      </c>
      <c r="B94" s="3" t="s">
        <v>28</v>
      </c>
      <c r="C94" s="34" t="s">
        <v>29</v>
      </c>
      <c r="D94" s="29">
        <v>541.77271900095104</v>
      </c>
      <c r="E94" s="29">
        <v>34.334934153275263</v>
      </c>
      <c r="F94" s="29">
        <v>18601.730632938557</v>
      </c>
      <c r="G94" s="21">
        <v>0.09</v>
      </c>
      <c r="H94" s="29">
        <v>493.01317429086544</v>
      </c>
      <c r="I94" s="23">
        <v>16927.574875974089</v>
      </c>
      <c r="J94" s="21">
        <v>0.21</v>
      </c>
      <c r="K94" s="30">
        <v>655.54498999115071</v>
      </c>
      <c r="L94" s="9">
        <v>22508.09406585565</v>
      </c>
    </row>
    <row r="95" spans="1:12" ht="15.75" x14ac:dyDescent="0.25">
      <c r="A95" s="1" t="s">
        <v>27</v>
      </c>
      <c r="B95" s="3" t="s">
        <v>45</v>
      </c>
      <c r="C95" s="31" t="s">
        <v>29</v>
      </c>
      <c r="D95" s="32">
        <v>234.36279022031391</v>
      </c>
      <c r="E95" s="32">
        <v>66.27034434739339</v>
      </c>
      <c r="F95" s="32">
        <v>15531.302810116124</v>
      </c>
      <c r="G95" s="20">
        <v>0.09</v>
      </c>
      <c r="H95" s="32">
        <v>213.27013910048566</v>
      </c>
      <c r="I95" s="23">
        <v>14133.485557205673</v>
      </c>
      <c r="J95" s="20">
        <v>0.21</v>
      </c>
      <c r="K95" s="33">
        <v>283.57897616657982</v>
      </c>
      <c r="L95" s="9">
        <v>18792.876400240508</v>
      </c>
    </row>
    <row r="96" spans="1:12" ht="15.75" x14ac:dyDescent="0.25">
      <c r="A96" s="1" t="s">
        <v>27</v>
      </c>
      <c r="B96" s="3" t="s">
        <v>32</v>
      </c>
      <c r="C96" s="34" t="s">
        <v>29</v>
      </c>
      <c r="D96" s="29">
        <v>647.69331599908207</v>
      </c>
      <c r="E96" s="29">
        <v>54.549198692082591</v>
      </c>
      <c r="F96" s="29">
        <v>35331.151385967765</v>
      </c>
      <c r="G96" s="21">
        <v>0.09</v>
      </c>
      <c r="H96" s="29">
        <v>589.40091755916467</v>
      </c>
      <c r="I96" s="23">
        <v>32151.347761230667</v>
      </c>
      <c r="J96" s="21">
        <v>0.21</v>
      </c>
      <c r="K96" s="30">
        <v>783.70891235888928</v>
      </c>
      <c r="L96" s="9">
        <v>42750.693177020992</v>
      </c>
    </row>
    <row r="97" spans="1:12" ht="15.75" x14ac:dyDescent="0.25">
      <c r="A97" s="1" t="s">
        <v>39</v>
      </c>
      <c r="B97" s="3" t="s">
        <v>18</v>
      </c>
      <c r="C97" s="31" t="s">
        <v>29</v>
      </c>
      <c r="D97" s="32">
        <v>534.27365623799415</v>
      </c>
      <c r="E97" s="32">
        <v>76.142855085648563</v>
      </c>
      <c r="F97" s="32">
        <v>40681.121583009204</v>
      </c>
      <c r="G97" s="20">
        <v>0.09</v>
      </c>
      <c r="H97" s="32">
        <v>486.18902717657465</v>
      </c>
      <c r="I97" s="23">
        <v>37019.820640538375</v>
      </c>
      <c r="J97" s="20">
        <v>0.21</v>
      </c>
      <c r="K97" s="33">
        <v>646.47112404797292</v>
      </c>
      <c r="L97" s="9">
        <v>49224.157115441136</v>
      </c>
    </row>
    <row r="98" spans="1:12" ht="15.75" x14ac:dyDescent="0.25">
      <c r="A98" s="1" t="s">
        <v>15</v>
      </c>
      <c r="B98" s="3" t="s">
        <v>32</v>
      </c>
      <c r="C98" s="34" t="s">
        <v>29</v>
      </c>
      <c r="D98" s="29">
        <v>476.8703435223519</v>
      </c>
      <c r="E98" s="29">
        <v>17.850335308775449</v>
      </c>
      <c r="F98" s="29">
        <v>8512.2955306849162</v>
      </c>
      <c r="G98" s="21">
        <v>0.09</v>
      </c>
      <c r="H98" s="29">
        <v>433.9520126053402</v>
      </c>
      <c r="I98" s="23">
        <v>7746.1889329232736</v>
      </c>
      <c r="J98" s="21">
        <v>0.21</v>
      </c>
      <c r="K98" s="30">
        <v>577.01311566204583</v>
      </c>
      <c r="L98" s="9">
        <v>10299.877592128749</v>
      </c>
    </row>
    <row r="99" spans="1:12" ht="15.75" x14ac:dyDescent="0.25">
      <c r="A99" s="1" t="s">
        <v>39</v>
      </c>
      <c r="B99" s="3" t="s">
        <v>43</v>
      </c>
      <c r="C99" s="31" t="s">
        <v>29</v>
      </c>
      <c r="D99" s="32">
        <v>356.03115832105829</v>
      </c>
      <c r="E99" s="32">
        <v>65.636457435546205</v>
      </c>
      <c r="F99" s="32">
        <v>23368.623968868353</v>
      </c>
      <c r="G99" s="20">
        <v>0.09</v>
      </c>
      <c r="H99" s="32">
        <v>323.98835407216302</v>
      </c>
      <c r="I99" s="23">
        <v>21265.447811670201</v>
      </c>
      <c r="J99" s="20">
        <v>0.21</v>
      </c>
      <c r="K99" s="33">
        <v>430.79770156848053</v>
      </c>
      <c r="L99" s="9">
        <v>28276.035002330711</v>
      </c>
    </row>
    <row r="100" spans="1:12" ht="15.75" x14ac:dyDescent="0.25">
      <c r="A100" s="1" t="s">
        <v>15</v>
      </c>
      <c r="B100" s="3" t="s">
        <v>40</v>
      </c>
      <c r="C100" s="34" t="s">
        <v>29</v>
      </c>
      <c r="D100" s="29">
        <v>686.25602382323973</v>
      </c>
      <c r="E100" s="29">
        <v>35.712971639472642</v>
      </c>
      <c r="F100" s="29">
        <v>24508.241916216622</v>
      </c>
      <c r="G100" s="21">
        <v>0.09</v>
      </c>
      <c r="H100" s="29">
        <v>624.49298167914822</v>
      </c>
      <c r="I100" s="23">
        <v>22302.500143757126</v>
      </c>
      <c r="J100" s="21">
        <v>0.21</v>
      </c>
      <c r="K100" s="30">
        <v>830.36978882612004</v>
      </c>
      <c r="L100" s="9">
        <v>29654.97271862211</v>
      </c>
    </row>
    <row r="101" spans="1:12" ht="15.75" x14ac:dyDescent="0.25">
      <c r="A101" s="1" t="s">
        <v>27</v>
      </c>
      <c r="B101" s="3" t="s">
        <v>24</v>
      </c>
      <c r="C101" s="31" t="s">
        <v>29</v>
      </c>
      <c r="D101" s="32">
        <v>260.75867518386588</v>
      </c>
      <c r="E101" s="32">
        <v>33.586353632965789</v>
      </c>
      <c r="F101" s="32">
        <v>8757.9330775889794</v>
      </c>
      <c r="G101" s="20">
        <v>0.09</v>
      </c>
      <c r="H101" s="32">
        <v>237.29039441731794</v>
      </c>
      <c r="I101" s="23">
        <v>7969.7191006059711</v>
      </c>
      <c r="J101" s="20">
        <v>0.21</v>
      </c>
      <c r="K101" s="33">
        <v>315.5179969724777</v>
      </c>
      <c r="L101" s="9">
        <v>10597.099023882665</v>
      </c>
    </row>
    <row r="102" spans="1:12" ht="15.75" x14ac:dyDescent="0.25">
      <c r="A102" s="1" t="s">
        <v>15</v>
      </c>
      <c r="B102" s="3" t="s">
        <v>32</v>
      </c>
      <c r="C102" s="34" t="s">
        <v>29</v>
      </c>
      <c r="D102" s="29">
        <v>812.92873116280123</v>
      </c>
      <c r="E102" s="29">
        <v>56.823039496332868</v>
      </c>
      <c r="F102" s="29">
        <v>46193.081398567621</v>
      </c>
      <c r="G102" s="21">
        <v>0.09</v>
      </c>
      <c r="H102" s="29">
        <v>739.76514535814908</v>
      </c>
      <c r="I102" s="23">
        <v>42035.704072696535</v>
      </c>
      <c r="J102" s="21">
        <v>0.21</v>
      </c>
      <c r="K102" s="30">
        <v>983.64376470698949</v>
      </c>
      <c r="L102" s="9">
        <v>55893.62849226682</v>
      </c>
    </row>
    <row r="103" spans="1:12" ht="15.75" x14ac:dyDescent="0.25">
      <c r="A103" s="1" t="s">
        <v>39</v>
      </c>
      <c r="B103" s="3" t="s">
        <v>38</v>
      </c>
      <c r="C103" s="31" t="s">
        <v>29</v>
      </c>
      <c r="D103" s="32">
        <v>571.42251430234933</v>
      </c>
      <c r="E103" s="32">
        <v>32.856848871674337</v>
      </c>
      <c r="F103" s="32">
        <v>18775.143194304459</v>
      </c>
      <c r="G103" s="20">
        <v>0.09</v>
      </c>
      <c r="H103" s="32">
        <v>519.9944880151379</v>
      </c>
      <c r="I103" s="23">
        <v>17085.380306817056</v>
      </c>
      <c r="J103" s="20">
        <v>0.21</v>
      </c>
      <c r="K103" s="33">
        <v>691.42124230584272</v>
      </c>
      <c r="L103" s="9">
        <v>22717.923265108398</v>
      </c>
    </row>
    <row r="104" spans="1:12" ht="15.75" x14ac:dyDescent="0.25">
      <c r="A104" s="1" t="s">
        <v>22</v>
      </c>
      <c r="B104" s="3" t="s">
        <v>40</v>
      </c>
      <c r="C104" s="34" t="s">
        <v>29</v>
      </c>
      <c r="D104" s="29">
        <v>399.64859128309268</v>
      </c>
      <c r="E104" s="29">
        <v>64.280009881841835</v>
      </c>
      <c r="F104" s="29">
        <v>25689.415396941367</v>
      </c>
      <c r="G104" s="21">
        <v>0.09</v>
      </c>
      <c r="H104" s="29">
        <v>363.68021806761436</v>
      </c>
      <c r="I104" s="23">
        <v>23377.368011216644</v>
      </c>
      <c r="J104" s="21">
        <v>0.21</v>
      </c>
      <c r="K104" s="30">
        <v>483.57479545254216</v>
      </c>
      <c r="L104" s="9">
        <v>31084.192630299054</v>
      </c>
    </row>
    <row r="105" spans="1:12" ht="15.75" x14ac:dyDescent="0.25">
      <c r="A105" s="1" t="s">
        <v>27</v>
      </c>
      <c r="B105" s="3" t="s">
        <v>28</v>
      </c>
      <c r="C105" s="31" t="s">
        <v>29</v>
      </c>
      <c r="D105" s="32">
        <v>683.08042354041481</v>
      </c>
      <c r="E105" s="32">
        <v>59.464752491470897</v>
      </c>
      <c r="F105" s="32">
        <v>40619.208317599878</v>
      </c>
      <c r="G105" s="20">
        <v>0.09</v>
      </c>
      <c r="H105" s="32">
        <v>621.60318542177743</v>
      </c>
      <c r="I105" s="23">
        <v>36963.479569015886</v>
      </c>
      <c r="J105" s="20">
        <v>0.21</v>
      </c>
      <c r="K105" s="33">
        <v>826.52731248390194</v>
      </c>
      <c r="L105" s="9">
        <v>49149.242064295853</v>
      </c>
    </row>
    <row r="106" spans="1:12" ht="15.75" x14ac:dyDescent="0.25">
      <c r="A106" s="1" t="s">
        <v>27</v>
      </c>
      <c r="B106" s="3" t="s">
        <v>36</v>
      </c>
      <c r="C106" s="34" t="s">
        <v>29</v>
      </c>
      <c r="D106" s="29">
        <v>359.58938122452952</v>
      </c>
      <c r="E106" s="29">
        <v>54.281874882604079</v>
      </c>
      <c r="F106" s="29">
        <v>19519.185800742933</v>
      </c>
      <c r="G106" s="21">
        <v>0.09</v>
      </c>
      <c r="H106" s="29">
        <v>327.22633691432185</v>
      </c>
      <c r="I106" s="23">
        <v>17762.459078676067</v>
      </c>
      <c r="J106" s="21">
        <v>0.21</v>
      </c>
      <c r="K106" s="30">
        <v>435.10315128168071</v>
      </c>
      <c r="L106" s="9">
        <v>23618.214818898949</v>
      </c>
    </row>
    <row r="107" spans="1:12" ht="15.75" x14ac:dyDescent="0.25">
      <c r="A107" s="1" t="s">
        <v>15</v>
      </c>
      <c r="B107" s="3" t="s">
        <v>36</v>
      </c>
      <c r="C107" s="31" t="s">
        <v>29</v>
      </c>
      <c r="D107" s="32">
        <v>421.57836937356848</v>
      </c>
      <c r="E107" s="32">
        <v>53.46361851702364</v>
      </c>
      <c r="F107" s="32">
        <v>22539.105115217346</v>
      </c>
      <c r="G107" s="20">
        <v>0.09</v>
      </c>
      <c r="H107" s="32">
        <v>383.63631612994732</v>
      </c>
      <c r="I107" s="23">
        <v>20510.585654847786</v>
      </c>
      <c r="J107" s="20">
        <v>0.21</v>
      </c>
      <c r="K107" s="33">
        <v>510.10982694201789</v>
      </c>
      <c r="L107" s="9">
        <v>27272.317189412992</v>
      </c>
    </row>
    <row r="108" spans="1:12" ht="15.75" x14ac:dyDescent="0.25">
      <c r="A108" s="1" t="s">
        <v>27</v>
      </c>
      <c r="B108" s="3" t="s">
        <v>18</v>
      </c>
      <c r="C108" s="35" t="s">
        <v>29</v>
      </c>
      <c r="D108" s="36">
        <v>453.08257332497061</v>
      </c>
      <c r="E108" s="36">
        <v>27.140594043387541</v>
      </c>
      <c r="F108" s="36">
        <v>12296.930190746396</v>
      </c>
      <c r="G108" s="22">
        <v>0.09</v>
      </c>
      <c r="H108" s="36">
        <v>412.30514172572327</v>
      </c>
      <c r="I108" s="23">
        <v>11190.206473579221</v>
      </c>
      <c r="J108" s="22">
        <v>0.21</v>
      </c>
      <c r="K108" s="37">
        <v>548.22991372321439</v>
      </c>
      <c r="L108" s="9">
        <v>14879.285530803138</v>
      </c>
    </row>
    <row r="110" spans="1:12" x14ac:dyDescent="0.25">
      <c r="F110" s="9">
        <f>SUM(Table3[Total Price])</f>
        <v>2372072.488331994</v>
      </c>
      <c r="I110" s="25">
        <f>SUM(Table3[Total Sales Amount with Discount])</f>
        <v>2128695.8208536208</v>
      </c>
      <c r="L110" s="9">
        <f>SUM(Table3[Total Sales amount With Profit])</f>
        <v>2869998.0140147749</v>
      </c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F4EE35-AF76-44B5-AE11-C17D5894B824}">
  <dimension ref="A1:M36"/>
  <sheetViews>
    <sheetView showGridLines="0" showRowColHeaders="0" tabSelected="1" topLeftCell="A4" workbookViewId="0">
      <selection activeCell="I34" sqref="I34"/>
    </sheetView>
  </sheetViews>
  <sheetFormatPr defaultRowHeight="15" x14ac:dyDescent="0.25"/>
  <cols>
    <col min="1" max="1" width="1.85546875" customWidth="1"/>
    <col min="2" max="2" width="17.28515625" bestFit="1" customWidth="1"/>
    <col min="3" max="3" width="17.42578125" customWidth="1"/>
    <col min="4" max="4" width="13.28515625" bestFit="1" customWidth="1"/>
    <col min="5" max="5" width="22.28515625" bestFit="1" customWidth="1"/>
    <col min="6" max="6" width="30.7109375" customWidth="1"/>
    <col min="7" max="7" width="1" customWidth="1"/>
    <col min="8" max="8" width="17.28515625" bestFit="1" customWidth="1"/>
    <col min="9" max="9" width="14.5703125" bestFit="1" customWidth="1"/>
    <col min="10" max="10" width="13.7109375" bestFit="1" customWidth="1"/>
    <col min="11" max="11" width="19.7109375" bestFit="1" customWidth="1"/>
    <col min="12" max="12" width="21.7109375" bestFit="1" customWidth="1"/>
    <col min="13" max="13" width="1.85546875" customWidth="1"/>
    <col min="14" max="14" width="17.28515625" bestFit="1" customWidth="1"/>
    <col min="15" max="15" width="14.85546875" bestFit="1" customWidth="1"/>
  </cols>
  <sheetData>
    <row r="1" spans="1:13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</row>
    <row r="2" spans="1:13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</row>
    <row r="3" spans="1:13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</row>
    <row r="4" spans="1:13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</row>
    <row r="5" spans="1:13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</row>
    <row r="6" spans="1:13" x14ac:dyDescent="0.25">
      <c r="A6" s="24"/>
      <c r="B6" s="17" t="s">
        <v>60</v>
      </c>
      <c r="C6" t="s">
        <v>51</v>
      </c>
      <c r="D6" t="s">
        <v>52</v>
      </c>
      <c r="E6" t="s">
        <v>55</v>
      </c>
      <c r="F6" t="s">
        <v>56</v>
      </c>
      <c r="G6" s="24"/>
      <c r="H6" s="24"/>
      <c r="I6" s="24"/>
      <c r="J6" s="24"/>
      <c r="K6" s="24"/>
      <c r="L6" s="24"/>
      <c r="M6" s="24"/>
    </row>
    <row r="7" spans="1:13" x14ac:dyDescent="0.25">
      <c r="A7" s="24"/>
      <c r="B7" s="18" t="s">
        <v>44</v>
      </c>
      <c r="C7" s="9">
        <v>1031.3369001653516</v>
      </c>
      <c r="D7" s="9">
        <v>8816.6785474546887</v>
      </c>
      <c r="E7" s="9">
        <v>7935.0106927092193</v>
      </c>
      <c r="F7" s="9">
        <v>405022.37597300985</v>
      </c>
      <c r="G7" s="24"/>
      <c r="H7" s="24"/>
      <c r="I7" s="24"/>
      <c r="J7" s="24"/>
      <c r="K7" s="24"/>
      <c r="L7" s="24"/>
      <c r="M7" s="24"/>
    </row>
    <row r="8" spans="1:13" x14ac:dyDescent="0.25">
      <c r="A8" s="24"/>
      <c r="B8" s="18" t="s">
        <v>19</v>
      </c>
      <c r="C8" s="9">
        <v>733.62035734949154</v>
      </c>
      <c r="D8" s="9">
        <v>8665.8196001679735</v>
      </c>
      <c r="E8" s="9">
        <v>7556.2547631475391</v>
      </c>
      <c r="F8" s="9">
        <v>353402.67242755881</v>
      </c>
      <c r="G8" s="24"/>
      <c r="H8" s="24"/>
      <c r="I8" s="24"/>
      <c r="J8" s="24"/>
      <c r="K8" s="24"/>
      <c r="L8" s="24"/>
      <c r="M8" s="24"/>
    </row>
    <row r="9" spans="1:13" x14ac:dyDescent="0.25">
      <c r="A9" s="24"/>
      <c r="B9" s="18" t="s">
        <v>12</v>
      </c>
      <c r="C9" s="9">
        <v>1160.6641025642589</v>
      </c>
      <c r="D9" s="9">
        <v>10216.869900152891</v>
      </c>
      <c r="E9" s="9">
        <v>9195.1829101375988</v>
      </c>
      <c r="F9" s="9">
        <v>464150.59652291215</v>
      </c>
      <c r="G9" s="24"/>
      <c r="H9" s="24"/>
      <c r="I9" s="24"/>
      <c r="J9" s="24"/>
      <c r="K9" s="24"/>
      <c r="L9" s="24"/>
      <c r="M9" s="24"/>
    </row>
    <row r="10" spans="1:13" x14ac:dyDescent="0.25">
      <c r="A10" s="24"/>
      <c r="B10" s="18" t="s">
        <v>25</v>
      </c>
      <c r="C10" s="9">
        <v>1028.046142039668</v>
      </c>
      <c r="D10" s="9">
        <v>9230.7374609542567</v>
      </c>
      <c r="E10" s="9">
        <v>8307.6637148588306</v>
      </c>
      <c r="F10" s="9">
        <v>433394.97981518687</v>
      </c>
      <c r="G10" s="24"/>
      <c r="H10" s="24"/>
      <c r="I10" s="24"/>
      <c r="J10" s="24"/>
      <c r="K10" s="24"/>
      <c r="L10" s="24"/>
      <c r="M10" s="24"/>
    </row>
    <row r="11" spans="1:13" x14ac:dyDescent="0.25">
      <c r="A11" s="24"/>
      <c r="B11" s="18" t="s">
        <v>29</v>
      </c>
      <c r="C11" s="9">
        <v>1035.4078559944769</v>
      </c>
      <c r="D11" s="9">
        <v>11016.913164206262</v>
      </c>
      <c r="E11" s="9">
        <v>10025.390979427699</v>
      </c>
      <c r="F11" s="9">
        <v>472725.19611495326</v>
      </c>
      <c r="G11" s="24"/>
      <c r="H11" s="24"/>
      <c r="I11" s="24"/>
      <c r="J11" s="24"/>
      <c r="K11" s="24"/>
      <c r="L11" s="24"/>
      <c r="M11" s="24"/>
    </row>
    <row r="12" spans="1:13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</row>
    <row r="13" spans="1:13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</row>
    <row r="14" spans="1:13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</row>
    <row r="15" spans="1:13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</row>
    <row r="16" spans="1:13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</row>
    <row r="17" spans="1:13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</row>
    <row r="18" spans="1:13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</row>
    <row r="19" spans="1:13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</row>
    <row r="20" spans="1:13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</row>
    <row r="21" spans="1:13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</row>
    <row r="22" spans="1:13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</row>
    <row r="23" spans="1:13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</row>
    <row r="24" spans="1:13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</row>
    <row r="25" spans="1:13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</row>
    <row r="26" spans="1:13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</row>
    <row r="27" spans="1:13" x14ac:dyDescent="0.25">
      <c r="A27" s="24"/>
      <c r="B27" s="17" t="s">
        <v>64</v>
      </c>
      <c r="C27" t="s">
        <v>65</v>
      </c>
      <c r="D27" s="24"/>
      <c r="E27" s="17" t="s">
        <v>64</v>
      </c>
      <c r="F27" t="s">
        <v>67</v>
      </c>
      <c r="G27" s="24"/>
      <c r="H27" s="17" t="s">
        <v>59</v>
      </c>
      <c r="I27" t="s">
        <v>58</v>
      </c>
      <c r="J27" t="s">
        <v>57</v>
      </c>
      <c r="K27" t="s">
        <v>62</v>
      </c>
      <c r="L27" t="s">
        <v>68</v>
      </c>
      <c r="M27" s="24"/>
    </row>
    <row r="28" spans="1:13" x14ac:dyDescent="0.25">
      <c r="A28" s="24"/>
      <c r="B28" s="18" t="s">
        <v>44</v>
      </c>
      <c r="C28" s="26">
        <v>0.1</v>
      </c>
      <c r="D28" s="24"/>
      <c r="E28" s="18" t="s">
        <v>44</v>
      </c>
      <c r="F28" s="26">
        <v>0.23</v>
      </c>
      <c r="G28" s="24"/>
      <c r="H28" s="18" t="s">
        <v>44</v>
      </c>
      <c r="I28" s="9">
        <v>1031.3369001653516</v>
      </c>
      <c r="J28" s="9">
        <v>8816.6785474546887</v>
      </c>
      <c r="K28" s="9">
        <v>10844.514613369265</v>
      </c>
      <c r="L28" s="9">
        <v>553530.58049644693</v>
      </c>
      <c r="M28" s="24"/>
    </row>
    <row r="29" spans="1:13" x14ac:dyDescent="0.25">
      <c r="A29" s="24"/>
      <c r="B29" s="18" t="s">
        <v>19</v>
      </c>
      <c r="C29" s="26">
        <v>0.13</v>
      </c>
      <c r="D29" s="24"/>
      <c r="E29" s="18" t="s">
        <v>19</v>
      </c>
      <c r="F29" s="26">
        <v>0.2</v>
      </c>
      <c r="G29" s="24"/>
      <c r="H29" s="18" t="s">
        <v>19</v>
      </c>
      <c r="I29" s="9">
        <v>733.62035734949154</v>
      </c>
      <c r="J29" s="9">
        <v>8665.8196001679735</v>
      </c>
      <c r="K29" s="9">
        <v>10398.983520201567</v>
      </c>
      <c r="L29" s="9">
        <v>486355.83126349666</v>
      </c>
      <c r="M29" s="24"/>
    </row>
    <row r="30" spans="1:13" x14ac:dyDescent="0.25">
      <c r="A30" s="24"/>
      <c r="B30" s="18" t="s">
        <v>12</v>
      </c>
      <c r="C30" s="26">
        <v>0.1</v>
      </c>
      <c r="D30" s="24"/>
      <c r="E30" s="18" t="s">
        <v>12</v>
      </c>
      <c r="F30" s="26">
        <v>0.2</v>
      </c>
      <c r="G30" s="24"/>
      <c r="H30" s="18" t="s">
        <v>12</v>
      </c>
      <c r="I30" s="9">
        <v>1160.6641025642589</v>
      </c>
      <c r="J30" s="9">
        <v>10216.869900152891</v>
      </c>
      <c r="K30" s="9">
        <v>12260.243880183469</v>
      </c>
      <c r="L30" s="9">
        <v>618867.46203054965</v>
      </c>
      <c r="M30" s="24"/>
    </row>
    <row r="31" spans="1:13" x14ac:dyDescent="0.25">
      <c r="A31" s="24"/>
      <c r="B31" s="18" t="s">
        <v>25</v>
      </c>
      <c r="C31" s="26">
        <v>0.1</v>
      </c>
      <c r="D31" s="24"/>
      <c r="E31" s="18" t="s">
        <v>25</v>
      </c>
      <c r="F31" s="26">
        <v>0.21</v>
      </c>
      <c r="G31" s="24"/>
      <c r="H31" s="18" t="s">
        <v>25</v>
      </c>
      <c r="I31" s="9">
        <v>1028.046142039668</v>
      </c>
      <c r="J31" s="9">
        <v>9230.7374609542567</v>
      </c>
      <c r="K31" s="9">
        <v>11169.19232775465</v>
      </c>
      <c r="L31" s="9">
        <v>582675.47286264016</v>
      </c>
      <c r="M31" s="24"/>
    </row>
    <row r="32" spans="1:13" x14ac:dyDescent="0.25">
      <c r="A32" s="24"/>
      <c r="B32" s="18" t="s">
        <v>29</v>
      </c>
      <c r="C32" s="26">
        <v>0.09</v>
      </c>
      <c r="D32" s="24"/>
      <c r="E32" s="18" t="s">
        <v>29</v>
      </c>
      <c r="F32" s="26">
        <v>0.21</v>
      </c>
      <c r="G32" s="24"/>
      <c r="H32" s="18" t="s">
        <v>29</v>
      </c>
      <c r="I32" s="9">
        <v>1035.4078559944769</v>
      </c>
      <c r="J32" s="9">
        <v>11016.913164206262</v>
      </c>
      <c r="K32" s="9">
        <v>13330.464928689576</v>
      </c>
      <c r="L32" s="9">
        <v>628568.66736164107</v>
      </c>
      <c r="M32" s="24"/>
    </row>
    <row r="33" spans="1:13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</row>
    <row r="34" spans="1:13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</row>
    <row r="35" spans="1:13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</row>
    <row r="36" spans="1:13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</row>
  </sheetData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Raw data</vt:lpstr>
      <vt:lpstr>Finding 1 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Bhatt</dc:creator>
  <cp:lastModifiedBy>Amit Bhatt</cp:lastModifiedBy>
  <dcterms:created xsi:type="dcterms:W3CDTF">2025-04-03T13:53:48Z</dcterms:created>
  <dcterms:modified xsi:type="dcterms:W3CDTF">2025-04-08T08:05:12Z</dcterms:modified>
</cp:coreProperties>
</file>